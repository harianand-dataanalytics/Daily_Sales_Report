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Sales Entry" sheetId="1" state="visible" r:id="rId3"/>
    <sheet name="📊 Daily Report" sheetId="2" state="visible" r:id="rId4"/>
    <sheet name="📈 Weekly Report" sheetId="3" state="visible" r:id="rId5"/>
    <sheet name="📅 Monthly Report" sheetId="4" state="visible" r:id="rId6"/>
    <sheet name="ℹ️ How to Us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<sst xmlns="http://schemas.openxmlformats.org/spreadsheetml/2006/main" count="123" uniqueCount="95">
  <si>
    <t xml:space="preserve">🧾  DAILY SALES TRACKER</t>
  </si>
  <si>
    <t xml:space="preserve">Auto-Report System</t>
  </si>
  <si>
    <t xml:space="preserve">v1.0</t>
  </si>
  <si>
    <t xml:space="preserve">⬇  Enter each sale below. Reports update automatically.</t>
  </si>
  <si>
    <t xml:space="preserve">#</t>
  </si>
  <si>
    <t xml:space="preserve">Date</t>
  </si>
  <si>
    <t xml:space="preserve">Item / Service</t>
  </si>
  <si>
    <t xml:space="preserve">Category</t>
  </si>
  <si>
    <t xml:space="preserve">Qty</t>
  </si>
  <si>
    <t xml:space="preserve">Unit Price</t>
  </si>
  <si>
    <t xml:space="preserve">Total Sale</t>
  </si>
  <si>
    <t xml:space="preserve">Discount</t>
  </si>
  <si>
    <t xml:space="preserve">Net Revenue</t>
  </si>
  <si>
    <t xml:space="preserve">Panadol 500mg</t>
  </si>
  <si>
    <t xml:space="preserve">Medicine</t>
  </si>
  <si>
    <t xml:space="preserve">Chicken Biryani</t>
  </si>
  <si>
    <t xml:space="preserve">Food &amp; Beverage</t>
  </si>
  <si>
    <t xml:space="preserve">Shampoo (Head&amp;Shldr)</t>
  </si>
  <si>
    <t xml:space="preserve">Hair &amp; Beauty</t>
  </si>
  <si>
    <t xml:space="preserve">USB-C Cable 1m</t>
  </si>
  <si>
    <t xml:space="preserve">Electronics</t>
  </si>
  <si>
    <t xml:space="preserve">Men's Shirt</t>
  </si>
  <si>
    <t xml:space="preserve">Clothing</t>
  </si>
  <si>
    <t xml:space="preserve">Cough Syrup</t>
  </si>
  <si>
    <t xml:space="preserve">Naan + Karahi</t>
  </si>
  <si>
    <t xml:space="preserve">Hair Trim</t>
  </si>
  <si>
    <t xml:space="preserve">Laptop Sleeve</t>
  </si>
  <si>
    <t xml:space="preserve">Jeans</t>
  </si>
  <si>
    <t xml:space="preserve">TOTALS</t>
  </si>
  <si>
    <t xml:space="preserve">📊  DAILY SALES REPORT</t>
  </si>
  <si>
    <t xml:space="preserve">Select Date →</t>
  </si>
  <si>
    <t xml:space="preserve">Change the date in F2 to view any day's report. Data pulls from Sales Entry tab.</t>
  </si>
  <si>
    <t xml:space="preserve">Total Transactions</t>
  </si>
  <si>
    <t xml:space="preserve">Gross Revenue</t>
  </si>
  <si>
    <t xml:space="preserve">Total Discounts</t>
  </si>
  <si>
    <t xml:space="preserve">Avg Sale Value</t>
  </si>
  <si>
    <t xml:space="preserve">Category Breakdown</t>
  </si>
  <si>
    <t xml:space="preserve">Transactions</t>
  </si>
  <si>
    <t xml:space="preserve">% of Day</t>
  </si>
  <si>
    <t xml:space="preserve">Services</t>
  </si>
  <si>
    <t xml:space="preserve">Other</t>
  </si>
  <si>
    <t xml:space="preserve">TOTAL</t>
  </si>
  <si>
    <t xml:space="preserve">Top 5 Items Today</t>
  </si>
  <si>
    <t xml:space="preserve">(Scroll Sales Entry tab and sort by Net Revenue for full detail)</t>
  </si>
  <si>
    <t xml:space="preserve">📈  WEEKLY SALES REPORT</t>
  </si>
  <si>
    <t xml:space="preserve">Week Start (Monday):</t>
  </si>
  <si>
    <t xml:space="preserve">Week End:</t>
  </si>
  <si>
    <t xml:space="preserve">Day</t>
  </si>
  <si>
    <t xml:space="preserve">Discounts</t>
  </si>
  <si>
    <t xml:space="preserve">vs. Prev Day</t>
  </si>
  <si>
    <t xml:space="preserve">Monday</t>
  </si>
  <si>
    <t xml:space="preserve">—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</si>
  <si>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</si>
  <si>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</si>
  <si>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</si>
  <si>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</si>
  <si>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</si>
  <si>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</si>
  <si>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WEEK TOTAL</t>
  </si>
  <si>
    <t xml:space="preserve">Weekly Summary</t>
  </si>
  <si>
    <t xml:space="preserve">Best Day</t>
  </si>
  <si>
    <t xml:space="preserve">Best Revenue</t>
  </si>
  <si>
    <t xml:space="preserve">Worst Day</t>
  </si>
  <si>
    <t xml:space="preserve">Daily Avg</t>
  </si>
  <si>
    <t xml:space="preserve">📅  MONTHLY SALES REPORT</t>
  </si>
  <si>
    <t xml:space="preserve">Select Month (1–12):</t>
  </si>
  <si>
    <t xml:space="preserve">Year:</t>
  </si>
  <si>
    <t xml:space="preserve">Category Performance</t>
  </si>
  <si>
    <t xml:space="preserve">Avg Sale</t>
  </si>
  <si>
    <t xml:space="preserve">% Share</t>
  </si>
  <si>
    <t xml:space="preserve">MONTH TOTAL</t>
  </si>
  <si>
    <t xml:space="preserve">100.0%</t>
  </si>
  <si>
    <t xml:space="preserve">Monthly Summary</t>
  </si>
  <si>
    <t xml:space="preserve">Total Revenue</t>
  </si>
  <si>
    <t xml:space="preserve">Average Daily Rev</t>
  </si>
  <si>
    <t xml:space="preserve">Top Category</t>
  </si>
  <si>
    <t xml:space="preserve">ℹ️  HOW TO USE THIS SYSTEM</t>
  </si>
  <si>
    <t xml:space="preserve">Step 1: Open the 📋 Sales Entry tab</t>
  </si>
  <si>
    <t xml:space="preserve">Enter every sale: Date, Item Name, Category, Qty, Unit Price. Discount is optional.</t>
  </si>
  <si>
    <t xml:space="preserve">Step 2: Total Sale is auto-calculated</t>
  </si>
  <si>
    <t xml:space="preserve">Column G (Total Sale) = Qty × Unit Price automatically. You don't type anything.</t>
  </si>
  <si>
    <t xml:space="preserve">Step 3: Net Revenue is auto-calculated</t>
  </si>
  <si>
    <t xml:space="preserve">Column I (Net Revenue) = Total Sale − Discount. Updates instantly.</t>
  </si>
  <si>
    <t xml:space="preserve">Step 4: View Daily Report</t>
  </si>
  <si>
    <t xml:space="preserve">Go to 📊 Daily Report tab. Change the date in cell F2 to see any day's summary.</t>
  </si>
  <si>
    <t xml:space="preserve">Step 5: View Weekly Report</t>
  </si>
  <si>
    <t xml:space="preserve">Go to 📈 Weekly Report tab. Change the Monday date in D4 to pick your week.</t>
  </si>
  <si>
    <t xml:space="preserve">Step 6: View Monthly Report</t>
  </si>
  <si>
    <t xml:space="preserve">Go to 📅 Monthly Report tab. Change month (D4) and year (F4) to see the month.</t>
  </si>
  <si>
    <t xml:space="preserve">Tip: Category dropdown</t>
  </si>
  <si>
    <t xml:space="preserve">In Sales Entry column D, pick from the dropdown: Food, Medicine, Clothing, etc.</t>
  </si>
  <si>
    <t xml:space="preserve">Tip: Add more rows if needed</t>
  </si>
  <si>
    <t xml:space="preserve">The entry table supports 100 rows. Copy-paste row formulas down for more.</t>
  </si>
  <si>
    <t xml:space="preserve">Tip: Backup regularly</t>
  </si>
  <si>
    <t xml:space="preserve">Save a copy each month with the month name, e.g. Sales_June_2026.xlsx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</si>
</sst>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#,##0"/>
    <numFmt numFmtId="167" formatCode="#,##0.00"/>
    <numFmt numFmtId="168" formatCode="0.0%"/>
    <numFmt numFmtId="169" formatCode="dd/mm"/>
    <numFmt numFmtId="170" formatCode="\+0.0%;\-0.0%;0.0%"/>
    <numFmt numFmtId="171" formatCode="@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0"/>
      <color rgb="FF8A93A2"/>
      <name val="Arial"/>
      <family val="0"/>
      <charset val="1"/>
    </font>
    <font>
      <b val="true"/>
      <sz val="10"/>
      <color rgb="FFF5A623"/>
      <name val="Arial"/>
      <family val="0"/>
      <charset val="1"/>
    </font>
    <font>
      <i val="true"/>
      <sz val="10"/>
      <color rgb="FF8A93A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8A93A2"/>
      <name val="Arial"/>
      <family val="0"/>
      <charset val="1"/>
    </font>
    <font>
      <sz val="11"/>
      <color rgb="FF27AE60"/>
      <name val="Arial"/>
      <family val="0"/>
      <charset val="1"/>
    </font>
    <font>
      <b val="true"/>
      <sz val="11"/>
      <color rgb="FFF5A623"/>
      <name val="Arial"/>
      <family val="0"/>
      <charset val="1"/>
    </font>
    <font>
      <b val="true"/>
      <sz val="11"/>
      <color rgb="FFE94560"/>
      <name val="Arial"/>
      <family val="0"/>
      <charset val="1"/>
    </font>
    <font>
      <sz val="10"/>
      <color rgb="FFE2E6EF"/>
      <name val="Arial"/>
      <family val="0"/>
      <charset val="1"/>
    </font>
    <font>
      <b val="true"/>
      <sz val="14"/>
      <color rgb="FFF5A623"/>
      <name val="Arial"/>
      <family val="0"/>
      <charset val="1"/>
    </font>
    <font>
      <i val="true"/>
      <sz val="9"/>
      <color rgb="FF8A93A2"/>
      <name val="Arial"/>
      <family val="0"/>
      <charset val="1"/>
    </font>
    <font>
      <sz val="8"/>
      <color rgb="FF8A93A2"/>
      <name val="Arial"/>
      <family val="0"/>
      <charset val="1"/>
    </font>
    <font>
      <b val="true"/>
      <sz val="16"/>
      <color rgb="FF2980B9"/>
      <name val="Arial"/>
      <family val="0"/>
      <charset val="1"/>
    </font>
    <font>
      <b val="true"/>
      <sz val="16"/>
      <color rgb="FF16213E"/>
      <name val="Arial"/>
      <family val="0"/>
      <charset val="1"/>
    </font>
    <font>
      <b val="true"/>
      <sz val="16"/>
      <color rgb="FFE74C3C"/>
      <name val="Arial"/>
      <family val="0"/>
      <charset val="1"/>
    </font>
    <font>
      <b val="true"/>
      <sz val="16"/>
      <color rgb="FF27AE60"/>
      <name val="Arial"/>
      <family val="0"/>
      <charset val="1"/>
    </font>
    <font>
      <b val="true"/>
      <sz val="16"/>
      <color rgb="FFF5A623"/>
      <name val="Arial"/>
      <family val="0"/>
      <charset val="1"/>
    </font>
    <font>
      <b val="true"/>
      <sz val="12"/>
      <color rgb="FF1A1A2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1"/>
      <color rgb="FF1A1A2E"/>
      <name val="Arial"/>
      <family val="0"/>
      <charset val="1"/>
    </font>
    <font>
      <sz val="11"/>
      <color rgb="FF2980B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8A93A2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2"/>
      <color rgb="FFE94560"/>
      <name val="Arial"/>
      <family val="0"/>
      <charset val="1"/>
    </font>
    <font>
      <sz val="11"/>
      <color rgb="FF8A93A2"/>
      <name val="Arial"/>
      <family val="0"/>
      <charset val="1"/>
    </font>
    <font>
      <sz val="11"/>
      <color rgb="FFE74C3C"/>
      <name val="Arial"/>
      <family val="0"/>
      <charset val="1"/>
    </font>
    <font>
      <b val="true"/>
      <sz val="11"/>
      <color rgb="FF27AE60"/>
      <name val="Arial"/>
      <family val="0"/>
      <charset val="1"/>
    </font>
    <font>
      <b val="true"/>
      <sz val="11"/>
      <color rgb="FFE74C3C"/>
      <name val="Arial"/>
      <family val="0"/>
      <charset val="1"/>
    </font>
    <font>
      <b val="true"/>
      <sz val="11"/>
      <color rgb="FF2980B9"/>
      <name val="Arial"/>
      <family val="0"/>
      <charset val="1"/>
    </font>
    <font>
      <b val="true"/>
      <sz val="14"/>
      <color rgb="FFE9456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0"/>
      <color rgb="FF0F3460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E9456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F7F8FC"/>
        <bgColor rgb="FFFFFFFF"/>
      </patternFill>
    </fill>
    <fill>
      <patternFill patternType="solid">
        <fgColor rgb="FF16213E"/>
        <bgColor rgb="FF1A1A2E"/>
      </patternFill>
    </fill>
    <fill>
      <patternFill patternType="solid">
        <fgColor rgb="FF0F3460"/>
        <bgColor rgb="FF16213E"/>
      </patternFill>
    </fill>
    <fill>
      <patternFill patternType="solid">
        <fgColor rgb="FFD6EEF8"/>
        <bgColor rgb="FFD4EFE0"/>
      </patternFill>
    </fill>
    <fill>
      <patternFill patternType="solid">
        <fgColor rgb="FFD4EFE0"/>
        <bgColor rgb="FFD6EEF8"/>
      </patternFill>
    </fill>
    <fill>
      <patternFill patternType="solid">
        <fgColor rgb="FFFFFFFF"/>
        <bgColor rgb="FFF7F8FC"/>
      </patternFill>
    </fill>
    <fill>
      <patternFill patternType="solid">
        <fgColor rgb="FFEAF6FF"/>
        <bgColor rgb="FFEAFAF1"/>
      </patternFill>
    </fill>
    <fill>
      <patternFill patternType="solid">
        <fgColor rgb="FFEAFAF1"/>
        <bgColor rgb="FFEAF6FF"/>
      </patternFill>
    </fill>
    <fill>
      <patternFill patternType="solid">
        <fgColor rgb="FF2980B9"/>
        <bgColor rgb="FF008080"/>
      </patternFill>
    </fill>
    <fill>
      <patternFill patternType="solid">
        <fgColor rgb="FFE74C3C"/>
        <bgColor rgb="FFE94560"/>
      </patternFill>
    </fill>
    <fill>
      <patternFill patternType="solid">
        <fgColor rgb="FF27AE60"/>
        <bgColor rgb="FF008080"/>
      </patternFill>
    </fill>
    <fill>
      <patternFill patternType="solid">
        <fgColor rgb="FFF5A623"/>
        <bgColor rgb="FFFFCC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5E0"/>
      </left>
      <right style="thin">
        <color rgb="FFD0D5E0"/>
      </right>
      <top style="thin">
        <color rgb="FFD0D5E0"/>
      </top>
      <bottom style="thin">
        <color rgb="FFD0D5E0"/>
      </bottom>
      <diagonal/>
    </border>
    <border diagonalUp="false" diagonalDown="false">
      <left style="thin">
        <color rgb="FFD0D5E0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E2E6EF"/>
      <rgbColor rgb="FF808080"/>
      <rgbColor rgb="FF9999FF"/>
      <rgbColor rgb="FFE94560"/>
      <rgbColor rgb="FFEAFAF1"/>
      <rgbColor rgb="FFD6EEF8"/>
      <rgbColor rgb="FF660066"/>
      <rgbColor rgb="FFFF8080"/>
      <rgbColor rgb="FF0066CC"/>
      <rgbColor rgb="FFD0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6FF"/>
      <rgbColor rgb="FFD4EFE0"/>
      <rgbColor rgb="FFF7F8F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A623"/>
      <rgbColor rgb="FFE74C3C"/>
      <rgbColor rgb="FF666699"/>
      <rgbColor rgb="FF8A93A2"/>
      <rgbColor rgb="FF0F3460"/>
      <rgbColor rgb="FF27AE60"/>
      <rgbColor rgb="FF003300"/>
      <rgbColor rgb="FF1A1A2E"/>
      <rgbColor rgb="FF993300"/>
      <rgbColor rgb="FF993366"/>
      <rgbColor rgb="FF333399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4560"/>
    <pageSetUpPr fitToPage="false"/>
  </sheetPr>
  <dimension ref="A1:I19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4" min="4" style="1" width="18"/>
    <col collapsed="false" customWidth="true" hidden="false" outlineLevel="0" max="6" min="5" style="1" width="12"/>
    <col collapsed="false" customWidth="true" hidden="false" outlineLevel="0" max="8" min="7" style="1" width="14"/>
    <col collapsed="false" customWidth="true" hidden="false" outlineLevel="0" max="9" min="9" style="1" width="18"/>
  </cols>
  <sheetData>
    <row r="1" customFormat="false" ht="7.5" hidden="false" customHeight="true" outlineLevel="0" collapsed="false"/>
    <row r="2" customFormat="false" ht="48" hidden="false" customHeight="true" outlineLevel="0" collapsed="false">
      <c r="A2" s="2"/>
      <c r="B2" s="3" t="s">
        <v>0</v>
      </c>
      <c r="C2" s="2"/>
      <c r="D2" s="2"/>
      <c r="E2" s="2"/>
      <c r="F2" s="2"/>
      <c r="G2" s="4" t="s">
        <v>1</v>
      </c>
      <c r="H2" s="5" t="s">
        <v>2</v>
      </c>
      <c r="I2" s="2"/>
    </row>
    <row r="3" customFormat="false" ht="27.75" hidden="false" customHeight="true" outlineLevel="0" collapsed="false"/>
    <row r="4" customFormat="false" ht="21.75" hidden="false" customHeight="true" outlineLevel="0" collapsed="false">
      <c r="A4" s="6"/>
      <c r="B4" s="7" t="s">
        <v>3</v>
      </c>
      <c r="C4" s="6"/>
      <c r="D4" s="6"/>
      <c r="E4" s="6"/>
      <c r="F4" s="6"/>
      <c r="G4" s="6"/>
      <c r="H4" s="6"/>
      <c r="I4" s="6"/>
    </row>
    <row r="5" customFormat="false" ht="18" hidden="false" customHeight="true" outlineLevel="0" collapsed="false"/>
    <row r="6" customFormat="false" ht="36" hidden="false" customHeight="true" outlineLevel="0" collapsed="false">
      <c r="A6" s="8" t="s">
        <v>4</v>
      </c>
      <c r="B6" s="8" t="s">
        <v>5</v>
      </c>
      <c r="C6" s="8" t="s">
        <v>6</v>
      </c>
      <c r="D6" s="8" t="s">
        <v>7</v>
      </c>
      <c r="E6" s="9" t="s">
        <v>8</v>
      </c>
      <c r="F6" s="9" t="s">
        <v>9</v>
      </c>
      <c r="G6" s="9" t="s">
        <v>10</v>
      </c>
      <c r="H6" s="9" t="s">
        <v>11</v>
      </c>
      <c r="I6" s="9" t="s">
        <v>12</v>
      </c>
    </row>
    <row r="7" customFormat="false" ht="21.75" hidden="false" customHeight="true" outlineLevel="0" collapsed="false"/>
    <row r="8" customFormat="false" ht="19.5" hidden="false" customHeight="true" outlineLevel="0" collapsed="false">
      <c r="A8" s="10" t="n">
        <v>1</v>
      </c>
      <c r="B8" s="11" t="n">
        <v>46184</v>
      </c>
      <c r="C8" s="12" t="s">
        <v>13</v>
      </c>
      <c r="D8" s="12" t="s">
        <v>14</v>
      </c>
      <c r="E8" s="13" t="n">
        <v>3</v>
      </c>
      <c r="F8" s="14" t="n">
        <v>120</v>
      </c>
      <c r="G8" s="15" t="n">
        <f aca="false">IF(E8*F8=0,"",E8*F8)</f>
        <v>360</v>
      </c>
      <c r="H8" s="14"/>
      <c r="I8" s="16" t="n">
        <f aca="false">IF(G8="","",G8-IF(H8="",0,H8))</f>
        <v>360</v>
      </c>
    </row>
    <row r="9" customFormat="false" ht="19.5" hidden="false" customHeight="true" outlineLevel="0" collapsed="false">
      <c r="A9" s="17" t="n">
        <v>2</v>
      </c>
      <c r="B9" s="18" t="n">
        <v>46184</v>
      </c>
      <c r="C9" s="19" t="s">
        <v>15</v>
      </c>
      <c r="D9" s="19" t="s">
        <v>16</v>
      </c>
      <c r="E9" s="20" t="n">
        <v>2</v>
      </c>
      <c r="F9" s="21" t="n">
        <v>350</v>
      </c>
      <c r="G9" s="22" t="n">
        <f aca="false">IF(E9*F9=0,"",E9*F9)</f>
        <v>700</v>
      </c>
      <c r="H9" s="21"/>
      <c r="I9" s="23" t="n">
        <f aca="false">IF(G9="","",G9-IF(H9="",0,H9))</f>
        <v>700</v>
      </c>
    </row>
    <row r="10" customFormat="false" ht="19.5" hidden="false" customHeight="true" outlineLevel="0" collapsed="false">
      <c r="A10" s="10" t="n">
        <v>3</v>
      </c>
      <c r="B10" s="11" t="n">
        <v>46184</v>
      </c>
      <c r="C10" s="12" t="s">
        <v>17</v>
      </c>
      <c r="D10" s="12" t="s">
        <v>18</v>
      </c>
      <c r="E10" s="13" t="n">
        <v>1</v>
      </c>
      <c r="F10" s="14" t="n">
        <v>650</v>
      </c>
      <c r="G10" s="15" t="n">
        <f aca="false">IF(E10*F10=0,"",E10*F10)</f>
        <v>650</v>
      </c>
      <c r="H10" s="14" t="n">
        <v>50</v>
      </c>
      <c r="I10" s="16" t="n">
        <f aca="false">IF(G10="","",G10-IF(H10="",0,H10))</f>
        <v>600</v>
      </c>
    </row>
    <row r="11" customFormat="false" ht="19.5" hidden="false" customHeight="true" outlineLevel="0" collapsed="false">
      <c r="A11" s="17" t="n">
        <v>4</v>
      </c>
      <c r="B11" s="18" t="n">
        <v>46184</v>
      </c>
      <c r="C11" s="19" t="s">
        <v>19</v>
      </c>
      <c r="D11" s="19" t="s">
        <v>20</v>
      </c>
      <c r="E11" s="20" t="n">
        <v>2</v>
      </c>
      <c r="F11" s="21" t="n">
        <v>280</v>
      </c>
      <c r="G11" s="22" t="n">
        <f aca="false">IF(E11*F11=0,"",E11*F11)</f>
        <v>560</v>
      </c>
      <c r="H11" s="21"/>
      <c r="I11" s="23" t="n">
        <f aca="false">IF(G11="","",G11-IF(H11="",0,H11))</f>
        <v>560</v>
      </c>
    </row>
    <row r="12" customFormat="false" ht="19.5" hidden="false" customHeight="true" outlineLevel="0" collapsed="false">
      <c r="A12" s="10" t="n">
        <v>5</v>
      </c>
      <c r="B12" s="11" t="n">
        <v>46184</v>
      </c>
      <c r="C12" s="12" t="s">
        <v>21</v>
      </c>
      <c r="D12" s="12" t="s">
        <v>22</v>
      </c>
      <c r="E12" s="13" t="n">
        <v>1</v>
      </c>
      <c r="F12" s="14" t="n">
        <v>1800</v>
      </c>
      <c r="G12" s="15" t="n">
        <f aca="false">IF(E12*F12=0,"",E12*F12)</f>
        <v>1800</v>
      </c>
      <c r="H12" s="14" t="n">
        <v>100</v>
      </c>
      <c r="I12" s="16" t="n">
        <f aca="false">IF(G12="","",G12-IF(H12="",0,H12))</f>
        <v>1700</v>
      </c>
    </row>
    <row r="13" customFormat="false" ht="19.5" hidden="false" customHeight="true" outlineLevel="0" collapsed="false">
      <c r="A13" s="17" t="n">
        <v>6</v>
      </c>
      <c r="B13" s="18" t="n">
        <v>46183</v>
      </c>
      <c r="C13" s="19" t="s">
        <v>23</v>
      </c>
      <c r="D13" s="19" t="s">
        <v>14</v>
      </c>
      <c r="E13" s="20" t="n">
        <v>2</v>
      </c>
      <c r="F13" s="21" t="n">
        <v>180</v>
      </c>
      <c r="G13" s="22" t="n">
        <f aca="false">IF(E13*F13=0,"",E13*F13)</f>
        <v>360</v>
      </c>
      <c r="H13" s="21"/>
      <c r="I13" s="23" t="n">
        <f aca="false">IF(G13="","",G13-IF(H13="",0,H13))</f>
        <v>360</v>
      </c>
    </row>
    <row r="14" customFormat="false" ht="19.5" hidden="false" customHeight="true" outlineLevel="0" collapsed="false">
      <c r="A14" s="10" t="n">
        <v>7</v>
      </c>
      <c r="B14" s="11" t="n">
        <v>46183</v>
      </c>
      <c r="C14" s="12" t="s">
        <v>24</v>
      </c>
      <c r="D14" s="12" t="s">
        <v>16</v>
      </c>
      <c r="E14" s="13" t="n">
        <v>4</v>
      </c>
      <c r="F14" s="14" t="n">
        <v>450</v>
      </c>
      <c r="G14" s="15" t="n">
        <f aca="false">IF(E14*F14=0,"",E14*F14)</f>
        <v>1800</v>
      </c>
      <c r="H14" s="14"/>
      <c r="I14" s="16" t="n">
        <f aca="false">IF(G14="","",G14-IF(H14="",0,H14))</f>
        <v>1800</v>
      </c>
    </row>
    <row r="15" customFormat="false" ht="19.5" hidden="false" customHeight="true" outlineLevel="0" collapsed="false">
      <c r="A15" s="17" t="n">
        <v>8</v>
      </c>
      <c r="B15" s="18" t="n">
        <v>46183</v>
      </c>
      <c r="C15" s="19" t="s">
        <v>25</v>
      </c>
      <c r="D15" s="19" t="s">
        <v>18</v>
      </c>
      <c r="E15" s="20" t="n">
        <v>2</v>
      </c>
      <c r="F15" s="21" t="n">
        <v>300</v>
      </c>
      <c r="G15" s="22" t="n">
        <f aca="false">IF(E15*F15=0,"",E15*F15)</f>
        <v>600</v>
      </c>
      <c r="H15" s="21"/>
      <c r="I15" s="23" t="n">
        <f aca="false">IF(G15="","",G15-IF(H15="",0,H15))</f>
        <v>600</v>
      </c>
    </row>
    <row r="16" customFormat="false" ht="19.5" hidden="false" customHeight="true" outlineLevel="0" collapsed="false">
      <c r="A16" s="10" t="n">
        <v>9</v>
      </c>
      <c r="B16" s="11" t="n">
        <v>46182</v>
      </c>
      <c r="C16" s="12" t="s">
        <v>26</v>
      </c>
      <c r="D16" s="12" t="s">
        <v>20</v>
      </c>
      <c r="E16" s="13" t="n">
        <v>1</v>
      </c>
      <c r="F16" s="14" t="n">
        <v>950</v>
      </c>
      <c r="G16" s="15" t="n">
        <f aca="false">IF(E16*F16=0,"",E16*F16)</f>
        <v>950</v>
      </c>
      <c r="H16" s="14" t="n">
        <v>50</v>
      </c>
      <c r="I16" s="16" t="n">
        <f aca="false">IF(G16="","",G16-IF(H16="",0,H16))</f>
        <v>900</v>
      </c>
    </row>
    <row r="17" customFormat="false" ht="19.5" hidden="false" customHeight="true" outlineLevel="0" collapsed="false">
      <c r="A17" s="17" t="n">
        <v>10</v>
      </c>
      <c r="B17" s="18" t="n">
        <v>46182</v>
      </c>
      <c r="C17" s="19" t="s">
        <v>27</v>
      </c>
      <c r="D17" s="19" t="s">
        <v>22</v>
      </c>
      <c r="E17" s="20" t="n">
        <v>1</v>
      </c>
      <c r="F17" s="21" t="n">
        <v>2500</v>
      </c>
      <c r="G17" s="22" t="n">
        <f aca="false">IF(E17*F17=0,"",E17*F17)</f>
        <v>2500</v>
      </c>
      <c r="H17" s="21" t="n">
        <v>200</v>
      </c>
      <c r="I17" s="23" t="n">
        <f aca="false">IF(G17="","",G17-IF(H17="",0,H17))</f>
        <v>2300</v>
      </c>
    </row>
    <row r="18" customFormat="false" ht="19.5" hidden="false" customHeight="true" outlineLevel="0" collapsed="false">
      <c r="A18" s="10" t="n">
        <v>11</v>
      </c>
      <c r="B18" s="11"/>
      <c r="C18" s="12"/>
      <c r="D18" s="12"/>
      <c r="E18" s="13"/>
      <c r="F18" s="14"/>
      <c r="G18" s="15" t="str">
        <f aca="false">IF(E18*F18=0,"",E18*F18)</f>
        <v/>
      </c>
      <c r="H18" s="14"/>
      <c r="I18" s="16" t="str">
        <f aca="false">IF(G18="","",G18-IF(H18="",0,H18))</f>
        <v/>
      </c>
    </row>
    <row r="19" customFormat="false" ht="19.5" hidden="false" customHeight="true" outlineLevel="0" collapsed="false">
      <c r="A19" s="17" t="n">
        <v>12</v>
      </c>
      <c r="B19" s="18"/>
      <c r="C19" s="19"/>
      <c r="D19" s="19"/>
      <c r="E19" s="20"/>
      <c r="F19" s="21"/>
      <c r="G19" s="22" t="str">
        <f aca="false">IF(E19*F19=0,"",E19*F19)</f>
        <v/>
      </c>
      <c r="H19" s="21"/>
      <c r="I19" s="23" t="str">
        <f aca="false">IF(G19="","",G19-IF(H19="",0,H19))</f>
        <v/>
      </c>
    </row>
    <row r="20" customFormat="false" ht="19.5" hidden="false" customHeight="true" outlineLevel="0" collapsed="false">
      <c r="A20" s="10" t="n">
        <v>13</v>
      </c>
      <c r="B20" s="11"/>
      <c r="C20" s="12"/>
      <c r="D20" s="12"/>
      <c r="E20" s="13"/>
      <c r="F20" s="14"/>
      <c r="G20" s="15" t="str">
        <f aca="false">IF(E20*F20=0,"",E20*F20)</f>
        <v/>
      </c>
      <c r="H20" s="14"/>
      <c r="I20" s="16" t="str">
        <f aca="false">IF(G20="","",G20-IF(H20="",0,H20))</f>
        <v/>
      </c>
    </row>
    <row r="21" customFormat="false" ht="19.5" hidden="false" customHeight="true" outlineLevel="0" collapsed="false">
      <c r="A21" s="17" t="n">
        <v>14</v>
      </c>
      <c r="B21" s="18"/>
      <c r="C21" s="19"/>
      <c r="D21" s="19"/>
      <c r="E21" s="20"/>
      <c r="F21" s="21"/>
      <c r="G21" s="22" t="str">
        <f aca="false">IF(E21*F21=0,"",E21*F21)</f>
        <v/>
      </c>
      <c r="H21" s="21"/>
      <c r="I21" s="23" t="str">
        <f aca="false">IF(G21="","",G21-IF(H21="",0,H21))</f>
        <v/>
      </c>
    </row>
    <row r="22" customFormat="false" ht="19.5" hidden="false" customHeight="true" outlineLevel="0" collapsed="false">
      <c r="A22" s="10" t="n">
        <v>15</v>
      </c>
      <c r="B22" s="11"/>
      <c r="C22" s="12"/>
      <c r="D22" s="12"/>
      <c r="E22" s="13"/>
      <c r="F22" s="14"/>
      <c r="G22" s="15" t="str">
        <f aca="false">IF(E22*F22=0,"",E22*F22)</f>
        <v/>
      </c>
      <c r="H22" s="14"/>
      <c r="I22" s="16" t="str">
        <f aca="false">IF(G22="","",G22-IF(H22="",0,H22))</f>
        <v/>
      </c>
    </row>
    <row r="23" customFormat="false" ht="19.5" hidden="false" customHeight="true" outlineLevel="0" collapsed="false">
      <c r="A23" s="17" t="n">
        <v>16</v>
      </c>
      <c r="B23" s="18"/>
      <c r="C23" s="19"/>
      <c r="D23" s="19"/>
      <c r="E23" s="20"/>
      <c r="F23" s="21"/>
      <c r="G23" s="22" t="str">
        <f aca="false">IF(E23*F23=0,"",E23*F23)</f>
        <v/>
      </c>
      <c r="H23" s="21"/>
      <c r="I23" s="23" t="str">
        <f aca="false">IF(G23="","",G23-IF(H23="",0,H23))</f>
        <v/>
      </c>
    </row>
    <row r="24" customFormat="false" ht="19.5" hidden="false" customHeight="true" outlineLevel="0" collapsed="false">
      <c r="A24" s="10" t="n">
        <v>17</v>
      </c>
      <c r="B24" s="11"/>
      <c r="C24" s="12"/>
      <c r="D24" s="12"/>
      <c r="E24" s="13"/>
      <c r="F24" s="14"/>
      <c r="G24" s="15" t="str">
        <f aca="false">IF(E24*F24=0,"",E24*F24)</f>
        <v/>
      </c>
      <c r="H24" s="14"/>
      <c r="I24" s="16" t="str">
        <f aca="false">IF(G24="","",G24-IF(H24="",0,H24))</f>
        <v/>
      </c>
    </row>
    <row r="25" customFormat="false" ht="19.5" hidden="false" customHeight="true" outlineLevel="0" collapsed="false">
      <c r="A25" s="17" t="n">
        <v>18</v>
      </c>
      <c r="B25" s="18"/>
      <c r="C25" s="19"/>
      <c r="D25" s="19"/>
      <c r="E25" s="20"/>
      <c r="F25" s="21"/>
      <c r="G25" s="22" t="str">
        <f aca="false">IF(E25*F25=0,"",E25*F25)</f>
        <v/>
      </c>
      <c r="H25" s="21"/>
      <c r="I25" s="23" t="str">
        <f aca="false">IF(G25="","",G25-IF(H25="",0,H25))</f>
        <v/>
      </c>
    </row>
    <row r="26" customFormat="false" ht="19.5" hidden="false" customHeight="true" outlineLevel="0" collapsed="false">
      <c r="A26" s="10" t="n">
        <v>19</v>
      </c>
      <c r="B26" s="11"/>
      <c r="C26" s="12"/>
      <c r="D26" s="12"/>
      <c r="E26" s="13"/>
      <c r="F26" s="14"/>
      <c r="G26" s="15" t="str">
        <f aca="false">IF(E26*F26=0,"",E26*F26)</f>
        <v/>
      </c>
      <c r="H26" s="14"/>
      <c r="I26" s="16" t="str">
        <f aca="false">IF(G26="","",G26-IF(H26="",0,H26))</f>
        <v/>
      </c>
    </row>
    <row r="27" customFormat="false" ht="19.5" hidden="false" customHeight="true" outlineLevel="0" collapsed="false">
      <c r="A27" s="17" t="n">
        <v>20</v>
      </c>
      <c r="B27" s="18"/>
      <c r="C27" s="19"/>
      <c r="D27" s="19"/>
      <c r="E27" s="20"/>
      <c r="F27" s="21"/>
      <c r="G27" s="22" t="str">
        <f aca="false">IF(E27*F27=0,"",E27*F27)</f>
        <v/>
      </c>
      <c r="H27" s="21"/>
      <c r="I27" s="23" t="str">
        <f aca="false">IF(G27="","",G27-IF(H27="",0,H27))</f>
        <v/>
      </c>
    </row>
    <row r="28" customFormat="false" ht="19.5" hidden="false" customHeight="true" outlineLevel="0" collapsed="false">
      <c r="A28" s="10" t="n">
        <v>21</v>
      </c>
      <c r="B28" s="11"/>
      <c r="C28" s="12"/>
      <c r="D28" s="12"/>
      <c r="E28" s="13"/>
      <c r="F28" s="14"/>
      <c r="G28" s="15" t="str">
        <f aca="false">IF(E28*F28=0,"",E28*F28)</f>
        <v/>
      </c>
      <c r="H28" s="14"/>
      <c r="I28" s="16" t="str">
        <f aca="false">IF(G28="","",G28-IF(H28="",0,H28))</f>
        <v/>
      </c>
    </row>
    <row r="29" customFormat="false" ht="19.5" hidden="false" customHeight="true" outlineLevel="0" collapsed="false">
      <c r="A29" s="17" t="n">
        <v>22</v>
      </c>
      <c r="B29" s="18"/>
      <c r="C29" s="19"/>
      <c r="D29" s="19"/>
      <c r="E29" s="20"/>
      <c r="F29" s="21"/>
      <c r="G29" s="22" t="str">
        <f aca="false">IF(E29*F29=0,"",E29*F29)</f>
        <v/>
      </c>
      <c r="H29" s="21"/>
      <c r="I29" s="23" t="str">
        <f aca="false">IF(G29="","",G29-IF(H29="",0,H29))</f>
        <v/>
      </c>
    </row>
    <row r="30" customFormat="false" ht="19.5" hidden="false" customHeight="true" outlineLevel="0" collapsed="false">
      <c r="A30" s="10" t="n">
        <v>23</v>
      </c>
      <c r="B30" s="11"/>
      <c r="C30" s="12"/>
      <c r="D30" s="12"/>
      <c r="E30" s="13"/>
      <c r="F30" s="14"/>
      <c r="G30" s="15" t="str">
        <f aca="false">IF(E30*F30=0,"",E30*F30)</f>
        <v/>
      </c>
      <c r="H30" s="14"/>
      <c r="I30" s="16" t="str">
        <f aca="false">IF(G30="","",G30-IF(H30="",0,H30))</f>
        <v/>
      </c>
    </row>
    <row r="31" customFormat="false" ht="19.5" hidden="false" customHeight="true" outlineLevel="0" collapsed="false">
      <c r="A31" s="17" t="n">
        <v>24</v>
      </c>
      <c r="B31" s="18"/>
      <c r="C31" s="19"/>
      <c r="D31" s="19"/>
      <c r="E31" s="20"/>
      <c r="F31" s="21"/>
      <c r="G31" s="22" t="str">
        <f aca="false">IF(E31*F31=0,"",E31*F31)</f>
        <v/>
      </c>
      <c r="H31" s="21"/>
      <c r="I31" s="23" t="str">
        <f aca="false">IF(G31="","",G31-IF(H31="",0,H31))</f>
        <v/>
      </c>
    </row>
    <row r="32" customFormat="false" ht="19.5" hidden="false" customHeight="true" outlineLevel="0" collapsed="false">
      <c r="A32" s="10" t="n">
        <v>25</v>
      </c>
      <c r="B32" s="11"/>
      <c r="C32" s="12"/>
      <c r="D32" s="12"/>
      <c r="E32" s="13"/>
      <c r="F32" s="14"/>
      <c r="G32" s="15" t="str">
        <f aca="false">IF(E32*F32=0,"",E32*F32)</f>
        <v/>
      </c>
      <c r="H32" s="14"/>
      <c r="I32" s="16" t="str">
        <f aca="false">IF(G32="","",G32-IF(H32="",0,H32))</f>
        <v/>
      </c>
    </row>
    <row r="33" customFormat="false" ht="19.5" hidden="false" customHeight="true" outlineLevel="0" collapsed="false">
      <c r="A33" s="17" t="n">
        <v>26</v>
      </c>
      <c r="B33" s="18"/>
      <c r="C33" s="19"/>
      <c r="D33" s="19"/>
      <c r="E33" s="20"/>
      <c r="F33" s="21"/>
      <c r="G33" s="22" t="str">
        <f aca="false">IF(E33*F33=0,"",E33*F33)</f>
        <v/>
      </c>
      <c r="H33" s="21"/>
      <c r="I33" s="23" t="str">
        <f aca="false">IF(G33="","",G33-IF(H33="",0,H33))</f>
        <v/>
      </c>
    </row>
    <row r="34" customFormat="false" ht="19.5" hidden="false" customHeight="true" outlineLevel="0" collapsed="false">
      <c r="A34" s="10" t="n">
        <v>27</v>
      </c>
      <c r="B34" s="11"/>
      <c r="C34" s="12"/>
      <c r="D34" s="12"/>
      <c r="E34" s="13"/>
      <c r="F34" s="14"/>
      <c r="G34" s="15" t="str">
        <f aca="false">IF(E34*F34=0,"",E34*F34)</f>
        <v/>
      </c>
      <c r="H34" s="14"/>
      <c r="I34" s="16" t="str">
        <f aca="false">IF(G34="","",G34-IF(H34="",0,H34))</f>
        <v/>
      </c>
    </row>
    <row r="35" customFormat="false" ht="19.5" hidden="false" customHeight="true" outlineLevel="0" collapsed="false">
      <c r="A35" s="17" t="n">
        <v>28</v>
      </c>
      <c r="B35" s="18"/>
      <c r="C35" s="19"/>
      <c r="D35" s="19"/>
      <c r="E35" s="20"/>
      <c r="F35" s="21"/>
      <c r="G35" s="22" t="str">
        <f aca="false">IF(E35*F35=0,"",E35*F35)</f>
        <v/>
      </c>
      <c r="H35" s="21"/>
      <c r="I35" s="23" t="str">
        <f aca="false">IF(G35="","",G35-IF(H35="",0,H35))</f>
        <v/>
      </c>
    </row>
    <row r="36" customFormat="false" ht="19.5" hidden="false" customHeight="true" outlineLevel="0" collapsed="false">
      <c r="A36" s="10" t="n">
        <v>29</v>
      </c>
      <c r="B36" s="11"/>
      <c r="C36" s="12"/>
      <c r="D36" s="12"/>
      <c r="E36" s="13"/>
      <c r="F36" s="14"/>
      <c r="G36" s="15" t="str">
        <f aca="false">IF(E36*F36=0,"",E36*F36)</f>
        <v/>
      </c>
      <c r="H36" s="14"/>
      <c r="I36" s="16" t="str">
        <f aca="false">IF(G36="","",G36-IF(H36="",0,H36))</f>
        <v/>
      </c>
    </row>
    <row r="37" customFormat="false" ht="19.5" hidden="false" customHeight="true" outlineLevel="0" collapsed="false">
      <c r="A37" s="17" t="n">
        <v>30</v>
      </c>
      <c r="B37" s="18"/>
      <c r="C37" s="19"/>
      <c r="D37" s="19"/>
      <c r="E37" s="20"/>
      <c r="F37" s="21"/>
      <c r="G37" s="22" t="str">
        <f aca="false">IF(E37*F37=0,"",E37*F37)</f>
        <v/>
      </c>
      <c r="H37" s="21"/>
      <c r="I37" s="23" t="str">
        <f aca="false">IF(G37="","",G37-IF(H37="",0,H37))</f>
        <v/>
      </c>
    </row>
    <row r="38" customFormat="false" ht="19.5" hidden="false" customHeight="true" outlineLevel="0" collapsed="false">
      <c r="A38" s="10" t="n">
        <v>31</v>
      </c>
      <c r="B38" s="11"/>
      <c r="C38" s="12"/>
      <c r="D38" s="12"/>
      <c r="E38" s="13"/>
      <c r="F38" s="14"/>
      <c r="G38" s="15" t="str">
        <f aca="false">IF(E38*F38=0,"",E38*F38)</f>
        <v/>
      </c>
      <c r="H38" s="14"/>
      <c r="I38" s="16" t="str">
        <f aca="false">IF(G38="","",G38-IF(H38="",0,H38))</f>
        <v/>
      </c>
    </row>
    <row r="39" customFormat="false" ht="19.5" hidden="false" customHeight="true" outlineLevel="0" collapsed="false">
      <c r="A39" s="17" t="n">
        <v>32</v>
      </c>
      <c r="B39" s="18"/>
      <c r="C39" s="19"/>
      <c r="D39" s="19"/>
      <c r="E39" s="20"/>
      <c r="F39" s="21"/>
      <c r="G39" s="22" t="str">
        <f aca="false">IF(E39*F39=0,"",E39*F39)</f>
        <v/>
      </c>
      <c r="H39" s="21"/>
      <c r="I39" s="23" t="str">
        <f aca="false">IF(G39="","",G39-IF(H39="",0,H39))</f>
        <v/>
      </c>
    </row>
    <row r="40" customFormat="false" ht="19.5" hidden="false" customHeight="true" outlineLevel="0" collapsed="false">
      <c r="A40" s="10" t="n">
        <v>33</v>
      </c>
      <c r="B40" s="11"/>
      <c r="C40" s="12"/>
      <c r="D40" s="12"/>
      <c r="E40" s="13"/>
      <c r="F40" s="14"/>
      <c r="G40" s="15" t="str">
        <f aca="false">IF(E40*F40=0,"",E40*F40)</f>
        <v/>
      </c>
      <c r="H40" s="14"/>
      <c r="I40" s="16" t="str">
        <f aca="false">IF(G40="","",G40-IF(H40="",0,H40))</f>
        <v/>
      </c>
    </row>
    <row r="41" customFormat="false" ht="19.5" hidden="false" customHeight="true" outlineLevel="0" collapsed="false">
      <c r="A41" s="17" t="n">
        <v>34</v>
      </c>
      <c r="B41" s="18"/>
      <c r="C41" s="19"/>
      <c r="D41" s="19"/>
      <c r="E41" s="20"/>
      <c r="F41" s="21"/>
      <c r="G41" s="22" t="str">
        <f aca="false">IF(E41*F41=0,"",E41*F41)</f>
        <v/>
      </c>
      <c r="H41" s="21"/>
      <c r="I41" s="23" t="str">
        <f aca="false">IF(G41="","",G41-IF(H41="",0,H41))</f>
        <v/>
      </c>
    </row>
    <row r="42" customFormat="false" ht="19.5" hidden="false" customHeight="true" outlineLevel="0" collapsed="false">
      <c r="A42" s="10" t="n">
        <v>35</v>
      </c>
      <c r="B42" s="11"/>
      <c r="C42" s="12"/>
      <c r="D42" s="12"/>
      <c r="E42" s="13"/>
      <c r="F42" s="14"/>
      <c r="G42" s="15" t="str">
        <f aca="false">IF(E42*F42=0,"",E42*F42)</f>
        <v/>
      </c>
      <c r="H42" s="14"/>
      <c r="I42" s="16" t="str">
        <f aca="false">IF(G42="","",G42-IF(H42="",0,H42))</f>
        <v/>
      </c>
    </row>
    <row r="43" customFormat="false" ht="19.5" hidden="false" customHeight="true" outlineLevel="0" collapsed="false">
      <c r="A43" s="17" t="n">
        <v>36</v>
      </c>
      <c r="B43" s="18"/>
      <c r="C43" s="19"/>
      <c r="D43" s="19"/>
      <c r="E43" s="20"/>
      <c r="F43" s="21"/>
      <c r="G43" s="22" t="str">
        <f aca="false">IF(E43*F43=0,"",E43*F43)</f>
        <v/>
      </c>
      <c r="H43" s="21"/>
      <c r="I43" s="23" t="str">
        <f aca="false">IF(G43="","",G43-IF(H43="",0,H43))</f>
        <v/>
      </c>
    </row>
    <row r="44" customFormat="false" ht="19.5" hidden="false" customHeight="true" outlineLevel="0" collapsed="false">
      <c r="A44" s="10" t="n">
        <v>37</v>
      </c>
      <c r="B44" s="11"/>
      <c r="C44" s="12"/>
      <c r="D44" s="12"/>
      <c r="E44" s="13"/>
      <c r="F44" s="14"/>
      <c r="G44" s="15" t="str">
        <f aca="false">IF(E44*F44=0,"",E44*F44)</f>
        <v/>
      </c>
      <c r="H44" s="14"/>
      <c r="I44" s="16" t="str">
        <f aca="false">IF(G44="","",G44-IF(H44="",0,H44))</f>
        <v/>
      </c>
    </row>
    <row r="45" customFormat="false" ht="19.5" hidden="false" customHeight="true" outlineLevel="0" collapsed="false">
      <c r="A45" s="17" t="n">
        <v>38</v>
      </c>
      <c r="B45" s="18"/>
      <c r="C45" s="19"/>
      <c r="D45" s="19"/>
      <c r="E45" s="20"/>
      <c r="F45" s="21"/>
      <c r="G45" s="22" t="str">
        <f aca="false">IF(E45*F45=0,"",E45*F45)</f>
        <v/>
      </c>
      <c r="H45" s="21"/>
      <c r="I45" s="23" t="str">
        <f aca="false">IF(G45="","",G45-IF(H45="",0,H45))</f>
        <v/>
      </c>
    </row>
    <row r="46" customFormat="false" ht="19.5" hidden="false" customHeight="true" outlineLevel="0" collapsed="false">
      <c r="A46" s="10" t="n">
        <v>39</v>
      </c>
      <c r="B46" s="11"/>
      <c r="C46" s="12"/>
      <c r="D46" s="12"/>
      <c r="E46" s="13"/>
      <c r="F46" s="14"/>
      <c r="G46" s="15" t="str">
        <f aca="false">IF(E46*F46=0,"",E46*F46)</f>
        <v/>
      </c>
      <c r="H46" s="14"/>
      <c r="I46" s="16" t="str">
        <f aca="false">IF(G46="","",G46-IF(H46="",0,H46))</f>
        <v/>
      </c>
    </row>
    <row r="47" customFormat="false" ht="19.5" hidden="false" customHeight="true" outlineLevel="0" collapsed="false">
      <c r="A47" s="17" t="n">
        <v>40</v>
      </c>
      <c r="B47" s="18"/>
      <c r="C47" s="19"/>
      <c r="D47" s="19"/>
      <c r="E47" s="20"/>
      <c r="F47" s="21"/>
      <c r="G47" s="22" t="str">
        <f aca="false">IF(E47*F47=0,"",E47*F47)</f>
        <v/>
      </c>
      <c r="H47" s="21"/>
      <c r="I47" s="23" t="str">
        <f aca="false">IF(G47="","",G47-IF(H47="",0,H47))</f>
        <v/>
      </c>
    </row>
    <row r="48" customFormat="false" ht="19.5" hidden="false" customHeight="true" outlineLevel="0" collapsed="false">
      <c r="A48" s="10" t="n">
        <v>41</v>
      </c>
      <c r="B48" s="11"/>
      <c r="C48" s="12"/>
      <c r="D48" s="12"/>
      <c r="E48" s="13"/>
      <c r="F48" s="14"/>
      <c r="G48" s="15" t="str">
        <f aca="false">IF(E48*F48=0,"",E48*F48)</f>
        <v/>
      </c>
      <c r="H48" s="14"/>
      <c r="I48" s="16" t="str">
        <f aca="false">IF(G48="","",G48-IF(H48="",0,H48))</f>
        <v/>
      </c>
    </row>
    <row r="49" customFormat="false" ht="19.5" hidden="false" customHeight="true" outlineLevel="0" collapsed="false">
      <c r="A49" s="17" t="n">
        <v>42</v>
      </c>
      <c r="B49" s="18"/>
      <c r="C49" s="19"/>
      <c r="D49" s="19"/>
      <c r="E49" s="20"/>
      <c r="F49" s="21"/>
      <c r="G49" s="22" t="str">
        <f aca="false">IF(E49*F49=0,"",E49*F49)</f>
        <v/>
      </c>
      <c r="H49" s="21"/>
      <c r="I49" s="23" t="str">
        <f aca="false">IF(G49="","",G49-IF(H49="",0,H49))</f>
        <v/>
      </c>
    </row>
    <row r="50" customFormat="false" ht="19.5" hidden="false" customHeight="true" outlineLevel="0" collapsed="false">
      <c r="A50" s="10" t="n">
        <v>43</v>
      </c>
      <c r="B50" s="11"/>
      <c r="C50" s="12"/>
      <c r="D50" s="12"/>
      <c r="E50" s="13"/>
      <c r="F50" s="14"/>
      <c r="G50" s="15" t="str">
        <f aca="false">IF(E50*F50=0,"",E50*F50)</f>
        <v/>
      </c>
      <c r="H50" s="14"/>
      <c r="I50" s="16" t="str">
        <f aca="false">IF(G50="","",G50-IF(H50="",0,H50))</f>
        <v/>
      </c>
    </row>
    <row r="51" customFormat="false" ht="19.5" hidden="false" customHeight="true" outlineLevel="0" collapsed="false">
      <c r="A51" s="17" t="n">
        <v>44</v>
      </c>
      <c r="B51" s="18"/>
      <c r="C51" s="19"/>
      <c r="D51" s="19"/>
      <c r="E51" s="20"/>
      <c r="F51" s="21"/>
      <c r="G51" s="22" t="str">
        <f aca="false">IF(E51*F51=0,"",E51*F51)</f>
        <v/>
      </c>
      <c r="H51" s="21"/>
      <c r="I51" s="23" t="str">
        <f aca="false">IF(G51="","",G51-IF(H51="",0,H51))</f>
        <v/>
      </c>
    </row>
    <row r="52" customFormat="false" ht="19.5" hidden="false" customHeight="true" outlineLevel="0" collapsed="false">
      <c r="A52" s="10" t="n">
        <v>45</v>
      </c>
      <c r="B52" s="11"/>
      <c r="C52" s="12"/>
      <c r="D52" s="12"/>
      <c r="E52" s="13"/>
      <c r="F52" s="14"/>
      <c r="G52" s="15" t="str">
        <f aca="false">IF(E52*F52=0,"",E52*F52)</f>
        <v/>
      </c>
      <c r="H52" s="14"/>
      <c r="I52" s="16" t="str">
        <f aca="false">IF(G52="","",G52-IF(H52="",0,H52))</f>
        <v/>
      </c>
    </row>
    <row r="53" customFormat="false" ht="19.5" hidden="false" customHeight="true" outlineLevel="0" collapsed="false">
      <c r="A53" s="17" t="n">
        <v>46</v>
      </c>
      <c r="B53" s="18"/>
      <c r="C53" s="19"/>
      <c r="D53" s="19"/>
      <c r="E53" s="20"/>
      <c r="F53" s="21"/>
      <c r="G53" s="22" t="str">
        <f aca="false">IF(E53*F53=0,"",E53*F53)</f>
        <v/>
      </c>
      <c r="H53" s="21"/>
      <c r="I53" s="23" t="str">
        <f aca="false">IF(G53="","",G53-IF(H53="",0,H53))</f>
        <v/>
      </c>
    </row>
    <row r="54" customFormat="false" ht="19.5" hidden="false" customHeight="true" outlineLevel="0" collapsed="false">
      <c r="A54" s="10" t="n">
        <v>47</v>
      </c>
      <c r="B54" s="11"/>
      <c r="C54" s="12"/>
      <c r="D54" s="12"/>
      <c r="E54" s="13"/>
      <c r="F54" s="14"/>
      <c r="G54" s="15" t="str">
        <f aca="false">IF(E54*F54=0,"",E54*F54)</f>
        <v/>
      </c>
      <c r="H54" s="14"/>
      <c r="I54" s="16" t="str">
        <f aca="false">IF(G54="","",G54-IF(H54="",0,H54))</f>
        <v/>
      </c>
    </row>
    <row r="55" customFormat="false" ht="19.5" hidden="false" customHeight="true" outlineLevel="0" collapsed="false">
      <c r="A55" s="17" t="n">
        <v>48</v>
      </c>
      <c r="B55" s="18"/>
      <c r="C55" s="19"/>
      <c r="D55" s="19"/>
      <c r="E55" s="20"/>
      <c r="F55" s="21"/>
      <c r="G55" s="22" t="str">
        <f aca="false">IF(E55*F55=0,"",E55*F55)</f>
        <v/>
      </c>
      <c r="H55" s="21"/>
      <c r="I55" s="23" t="str">
        <f aca="false">IF(G55="","",G55-IF(H55="",0,H55))</f>
        <v/>
      </c>
    </row>
    <row r="56" customFormat="false" ht="19.5" hidden="false" customHeight="true" outlineLevel="0" collapsed="false">
      <c r="A56" s="10" t="n">
        <v>49</v>
      </c>
      <c r="B56" s="11"/>
      <c r="C56" s="12"/>
      <c r="D56" s="12"/>
      <c r="E56" s="13"/>
      <c r="F56" s="14"/>
      <c r="G56" s="15" t="str">
        <f aca="false">IF(E56*F56=0,"",E56*F56)</f>
        <v/>
      </c>
      <c r="H56" s="14"/>
      <c r="I56" s="16" t="str">
        <f aca="false">IF(G56="","",G56-IF(H56="",0,H56))</f>
        <v/>
      </c>
    </row>
    <row r="57" customFormat="false" ht="19.5" hidden="false" customHeight="true" outlineLevel="0" collapsed="false">
      <c r="A57" s="17" t="n">
        <v>50</v>
      </c>
      <c r="B57" s="18"/>
      <c r="C57" s="19"/>
      <c r="D57" s="19"/>
      <c r="E57" s="20"/>
      <c r="F57" s="21"/>
      <c r="G57" s="22" t="str">
        <f aca="false">IF(E57*F57=0,"",E57*F57)</f>
        <v/>
      </c>
      <c r="H57" s="21"/>
      <c r="I57" s="23" t="str">
        <f aca="false">IF(G57="","",G57-IF(H57="",0,H57))</f>
        <v/>
      </c>
    </row>
    <row r="58" customFormat="false" ht="19.5" hidden="false" customHeight="true" outlineLevel="0" collapsed="false">
      <c r="A58" s="10" t="n">
        <v>51</v>
      </c>
      <c r="B58" s="11"/>
      <c r="C58" s="12"/>
      <c r="D58" s="12"/>
      <c r="E58" s="13"/>
      <c r="F58" s="14"/>
      <c r="G58" s="15" t="str">
        <f aca="false">IF(E58*F58=0,"",E58*F58)</f>
        <v/>
      </c>
      <c r="H58" s="14"/>
      <c r="I58" s="16" t="str">
        <f aca="false">IF(G58="","",G58-IF(H58="",0,H58))</f>
        <v/>
      </c>
    </row>
    <row r="59" customFormat="false" ht="19.5" hidden="false" customHeight="true" outlineLevel="0" collapsed="false">
      <c r="A59" s="17" t="n">
        <v>52</v>
      </c>
      <c r="B59" s="18"/>
      <c r="C59" s="19"/>
      <c r="D59" s="19"/>
      <c r="E59" s="20"/>
      <c r="F59" s="21"/>
      <c r="G59" s="22" t="str">
        <f aca="false">IF(E59*F59=0,"",E59*F59)</f>
        <v/>
      </c>
      <c r="H59" s="21"/>
      <c r="I59" s="23" t="str">
        <f aca="false">IF(G59="","",G59-IF(H59="",0,H59))</f>
        <v/>
      </c>
    </row>
    <row r="60" customFormat="false" ht="19.5" hidden="false" customHeight="true" outlineLevel="0" collapsed="false">
      <c r="A60" s="10" t="n">
        <v>53</v>
      </c>
      <c r="B60" s="11"/>
      <c r="C60" s="12"/>
      <c r="D60" s="12"/>
      <c r="E60" s="13"/>
      <c r="F60" s="14"/>
      <c r="G60" s="15" t="str">
        <f aca="false">IF(E60*F60=0,"",E60*F60)</f>
        <v/>
      </c>
      <c r="H60" s="14"/>
      <c r="I60" s="16" t="str">
        <f aca="false">IF(G60="","",G60-IF(H60="",0,H60))</f>
        <v/>
      </c>
    </row>
    <row r="61" customFormat="false" ht="19.5" hidden="false" customHeight="true" outlineLevel="0" collapsed="false">
      <c r="A61" s="17" t="n">
        <v>54</v>
      </c>
      <c r="B61" s="18"/>
      <c r="C61" s="19"/>
      <c r="D61" s="19"/>
      <c r="E61" s="20"/>
      <c r="F61" s="21"/>
      <c r="G61" s="22" t="str">
        <f aca="false">IF(E61*F61=0,"",E61*F61)</f>
        <v/>
      </c>
      <c r="H61" s="21"/>
      <c r="I61" s="23" t="str">
        <f aca="false">IF(G61="","",G61-IF(H61="",0,H61))</f>
        <v/>
      </c>
    </row>
    <row r="62" customFormat="false" ht="19.5" hidden="false" customHeight="true" outlineLevel="0" collapsed="false">
      <c r="A62" s="10" t="n">
        <v>55</v>
      </c>
      <c r="B62" s="11"/>
      <c r="C62" s="12"/>
      <c r="D62" s="12"/>
      <c r="E62" s="13"/>
      <c r="F62" s="14"/>
      <c r="G62" s="15" t="str">
        <f aca="false">IF(E62*F62=0,"",E62*F62)</f>
        <v/>
      </c>
      <c r="H62" s="14"/>
      <c r="I62" s="16" t="str">
        <f aca="false">IF(G62="","",G62-IF(H62="",0,H62))</f>
        <v/>
      </c>
    </row>
    <row r="63" customFormat="false" ht="19.5" hidden="false" customHeight="true" outlineLevel="0" collapsed="false">
      <c r="A63" s="17" t="n">
        <v>56</v>
      </c>
      <c r="B63" s="18"/>
      <c r="C63" s="19"/>
      <c r="D63" s="19"/>
      <c r="E63" s="20"/>
      <c r="F63" s="21"/>
      <c r="G63" s="22" t="str">
        <f aca="false">IF(E63*F63=0,"",E63*F63)</f>
        <v/>
      </c>
      <c r="H63" s="21"/>
      <c r="I63" s="23" t="str">
        <f aca="false">IF(G63="","",G63-IF(H63="",0,H63))</f>
        <v/>
      </c>
    </row>
    <row r="64" customFormat="false" ht="19.5" hidden="false" customHeight="true" outlineLevel="0" collapsed="false">
      <c r="A64" s="10" t="n">
        <v>57</v>
      </c>
      <c r="B64" s="11"/>
      <c r="C64" s="12"/>
      <c r="D64" s="12"/>
      <c r="E64" s="13"/>
      <c r="F64" s="14"/>
      <c r="G64" s="15" t="str">
        <f aca="false">IF(E64*F64=0,"",E64*F64)</f>
        <v/>
      </c>
      <c r="H64" s="14"/>
      <c r="I64" s="16" t="str">
        <f aca="false">IF(G64="","",G64-IF(H64="",0,H64))</f>
        <v/>
      </c>
    </row>
    <row r="65" customFormat="false" ht="19.5" hidden="false" customHeight="true" outlineLevel="0" collapsed="false">
      <c r="A65" s="17" t="n">
        <v>58</v>
      </c>
      <c r="B65" s="18"/>
      <c r="C65" s="19"/>
      <c r="D65" s="19"/>
      <c r="E65" s="20"/>
      <c r="F65" s="21"/>
      <c r="G65" s="22" t="str">
        <f aca="false">IF(E65*F65=0,"",E65*F65)</f>
        <v/>
      </c>
      <c r="H65" s="21"/>
      <c r="I65" s="23" t="str">
        <f aca="false">IF(G65="","",G65-IF(H65="",0,H65))</f>
        <v/>
      </c>
    </row>
    <row r="66" customFormat="false" ht="19.5" hidden="false" customHeight="true" outlineLevel="0" collapsed="false">
      <c r="A66" s="10" t="n">
        <v>59</v>
      </c>
      <c r="B66" s="11"/>
      <c r="C66" s="12"/>
      <c r="D66" s="12"/>
      <c r="E66" s="13"/>
      <c r="F66" s="14"/>
      <c r="G66" s="15" t="str">
        <f aca="false">IF(E66*F66=0,"",E66*F66)</f>
        <v/>
      </c>
      <c r="H66" s="14"/>
      <c r="I66" s="16" t="str">
        <f aca="false">IF(G66="","",G66-IF(H66="",0,H66))</f>
        <v/>
      </c>
    </row>
    <row r="67" customFormat="false" ht="19.5" hidden="false" customHeight="true" outlineLevel="0" collapsed="false">
      <c r="A67" s="17" t="n">
        <v>60</v>
      </c>
      <c r="B67" s="18"/>
      <c r="C67" s="19"/>
      <c r="D67" s="19"/>
      <c r="E67" s="20"/>
      <c r="F67" s="21"/>
      <c r="G67" s="22" t="str">
        <f aca="false">IF(E67*F67=0,"",E67*F67)</f>
        <v/>
      </c>
      <c r="H67" s="21"/>
      <c r="I67" s="23" t="str">
        <f aca="false">IF(G67="","",G67-IF(H67="",0,H67))</f>
        <v/>
      </c>
    </row>
    <row r="68" customFormat="false" ht="19.5" hidden="false" customHeight="true" outlineLevel="0" collapsed="false">
      <c r="A68" s="10" t="n">
        <v>61</v>
      </c>
      <c r="B68" s="11"/>
      <c r="C68" s="12"/>
      <c r="D68" s="12"/>
      <c r="E68" s="13"/>
      <c r="F68" s="14"/>
      <c r="G68" s="15" t="str">
        <f aca="false">IF(E68*F68=0,"",E68*F68)</f>
        <v/>
      </c>
      <c r="H68" s="14"/>
      <c r="I68" s="16" t="str">
        <f aca="false">IF(G68="","",G68-IF(H68="",0,H68))</f>
        <v/>
      </c>
    </row>
    <row r="69" customFormat="false" ht="19.5" hidden="false" customHeight="true" outlineLevel="0" collapsed="false">
      <c r="A69" s="17" t="n">
        <v>62</v>
      </c>
      <c r="B69" s="18"/>
      <c r="C69" s="19"/>
      <c r="D69" s="19"/>
      <c r="E69" s="20"/>
      <c r="F69" s="21"/>
      <c r="G69" s="22" t="str">
        <f aca="false">IF(E69*F69=0,"",E69*F69)</f>
        <v/>
      </c>
      <c r="H69" s="21"/>
      <c r="I69" s="23" t="str">
        <f aca="false">IF(G69="","",G69-IF(H69="",0,H69))</f>
        <v/>
      </c>
    </row>
    <row r="70" customFormat="false" ht="19.5" hidden="false" customHeight="true" outlineLevel="0" collapsed="false">
      <c r="A70" s="10" t="n">
        <v>63</v>
      </c>
      <c r="B70" s="11"/>
      <c r="C70" s="12"/>
      <c r="D70" s="12"/>
      <c r="E70" s="13"/>
      <c r="F70" s="14"/>
      <c r="G70" s="15" t="str">
        <f aca="false">IF(E70*F70=0,"",E70*F70)</f>
        <v/>
      </c>
      <c r="H70" s="14"/>
      <c r="I70" s="16" t="str">
        <f aca="false">IF(G70="","",G70-IF(H70="",0,H70))</f>
        <v/>
      </c>
    </row>
    <row r="71" customFormat="false" ht="19.5" hidden="false" customHeight="true" outlineLevel="0" collapsed="false">
      <c r="A71" s="17" t="n">
        <v>64</v>
      </c>
      <c r="B71" s="18"/>
      <c r="C71" s="19"/>
      <c r="D71" s="19"/>
      <c r="E71" s="20"/>
      <c r="F71" s="21"/>
      <c r="G71" s="22" t="str">
        <f aca="false">IF(E71*F71=0,"",E71*F71)</f>
        <v/>
      </c>
      <c r="H71" s="21"/>
      <c r="I71" s="23" t="str">
        <f aca="false">IF(G71="","",G71-IF(H71="",0,H71))</f>
        <v/>
      </c>
    </row>
    <row r="72" customFormat="false" ht="19.5" hidden="false" customHeight="true" outlineLevel="0" collapsed="false">
      <c r="A72" s="10" t="n">
        <v>65</v>
      </c>
      <c r="B72" s="11"/>
      <c r="C72" s="12"/>
      <c r="D72" s="12"/>
      <c r="E72" s="13"/>
      <c r="F72" s="14"/>
      <c r="G72" s="15" t="str">
        <f aca="false">IF(E72*F72=0,"",E72*F72)</f>
        <v/>
      </c>
      <c r="H72" s="14"/>
      <c r="I72" s="16" t="str">
        <f aca="false">IF(G72="","",G72-IF(H72="",0,H72))</f>
        <v/>
      </c>
    </row>
    <row r="73" customFormat="false" ht="19.5" hidden="false" customHeight="true" outlineLevel="0" collapsed="false">
      <c r="A73" s="17" t="n">
        <v>66</v>
      </c>
      <c r="B73" s="18"/>
      <c r="C73" s="19"/>
      <c r="D73" s="19"/>
      <c r="E73" s="20"/>
      <c r="F73" s="21"/>
      <c r="G73" s="22" t="str">
        <f aca="false">IF(E73*F73=0,"",E73*F73)</f>
        <v/>
      </c>
      <c r="H73" s="21"/>
      <c r="I73" s="23" t="str">
        <f aca="false">IF(G73="","",G73-IF(H73="",0,H73))</f>
        <v/>
      </c>
    </row>
    <row r="74" customFormat="false" ht="19.5" hidden="false" customHeight="true" outlineLevel="0" collapsed="false">
      <c r="A74" s="10" t="n">
        <v>67</v>
      </c>
      <c r="B74" s="11"/>
      <c r="C74" s="12"/>
      <c r="D74" s="12"/>
      <c r="E74" s="13"/>
      <c r="F74" s="14"/>
      <c r="G74" s="15" t="str">
        <f aca="false">IF(E74*F74=0,"",E74*F74)</f>
        <v/>
      </c>
      <c r="H74" s="14"/>
      <c r="I74" s="16" t="str">
        <f aca="false">IF(G74="","",G74-IF(H74="",0,H74))</f>
        <v/>
      </c>
    </row>
    <row r="75" customFormat="false" ht="19.5" hidden="false" customHeight="true" outlineLevel="0" collapsed="false">
      <c r="A75" s="17" t="n">
        <v>68</v>
      </c>
      <c r="B75" s="18"/>
      <c r="C75" s="19"/>
      <c r="D75" s="19"/>
      <c r="E75" s="20"/>
      <c r="F75" s="21"/>
      <c r="G75" s="22" t="str">
        <f aca="false">IF(E75*F75=0,"",E75*F75)</f>
        <v/>
      </c>
      <c r="H75" s="21"/>
      <c r="I75" s="23" t="str">
        <f aca="false">IF(G75="","",G75-IF(H75="",0,H75))</f>
        <v/>
      </c>
    </row>
    <row r="76" customFormat="false" ht="19.5" hidden="false" customHeight="true" outlineLevel="0" collapsed="false">
      <c r="A76" s="10" t="n">
        <v>69</v>
      </c>
      <c r="B76" s="11"/>
      <c r="C76" s="12"/>
      <c r="D76" s="12"/>
      <c r="E76" s="13"/>
      <c r="F76" s="14"/>
      <c r="G76" s="15" t="str">
        <f aca="false">IF(E76*F76=0,"",E76*F76)</f>
        <v/>
      </c>
      <c r="H76" s="14"/>
      <c r="I76" s="16" t="str">
        <f aca="false">IF(G76="","",G76-IF(H76="",0,H76))</f>
        <v/>
      </c>
    </row>
    <row r="77" customFormat="false" ht="19.5" hidden="false" customHeight="true" outlineLevel="0" collapsed="false">
      <c r="A77" s="17" t="n">
        <v>70</v>
      </c>
      <c r="B77" s="18"/>
      <c r="C77" s="19"/>
      <c r="D77" s="19"/>
      <c r="E77" s="20"/>
      <c r="F77" s="21"/>
      <c r="G77" s="22" t="str">
        <f aca="false">IF(E77*F77=0,"",E77*F77)</f>
        <v/>
      </c>
      <c r="H77" s="21"/>
      <c r="I77" s="23" t="str">
        <f aca="false">IF(G77="","",G77-IF(H77="",0,H77))</f>
        <v/>
      </c>
    </row>
    <row r="78" customFormat="false" ht="19.5" hidden="false" customHeight="true" outlineLevel="0" collapsed="false">
      <c r="A78" s="10" t="n">
        <v>71</v>
      </c>
      <c r="B78" s="11"/>
      <c r="C78" s="12"/>
      <c r="D78" s="12"/>
      <c r="E78" s="13"/>
      <c r="F78" s="14"/>
      <c r="G78" s="15" t="str">
        <f aca="false">IF(E78*F78=0,"",E78*F78)</f>
        <v/>
      </c>
      <c r="H78" s="14"/>
      <c r="I78" s="16" t="str">
        <f aca="false">IF(G78="","",G78-IF(H78="",0,H78))</f>
        <v/>
      </c>
    </row>
    <row r="79" customFormat="false" ht="19.5" hidden="false" customHeight="true" outlineLevel="0" collapsed="false">
      <c r="A79" s="17" t="n">
        <v>72</v>
      </c>
      <c r="B79" s="18"/>
      <c r="C79" s="19"/>
      <c r="D79" s="19"/>
      <c r="E79" s="20"/>
      <c r="F79" s="21"/>
      <c r="G79" s="22" t="str">
        <f aca="false">IF(E79*F79=0,"",E79*F79)</f>
        <v/>
      </c>
      <c r="H79" s="21"/>
      <c r="I79" s="23" t="str">
        <f aca="false">IF(G79="","",G79-IF(H79="",0,H79))</f>
        <v/>
      </c>
    </row>
    <row r="80" customFormat="false" ht="19.5" hidden="false" customHeight="true" outlineLevel="0" collapsed="false">
      <c r="A80" s="10" t="n">
        <v>73</v>
      </c>
      <c r="B80" s="11"/>
      <c r="C80" s="12"/>
      <c r="D80" s="12"/>
      <c r="E80" s="13"/>
      <c r="F80" s="14"/>
      <c r="G80" s="15" t="str">
        <f aca="false">IF(E80*F80=0,"",E80*F80)</f>
        <v/>
      </c>
      <c r="H80" s="14"/>
      <c r="I80" s="16" t="str">
        <f aca="false">IF(G80="","",G80-IF(H80="",0,H80))</f>
        <v/>
      </c>
    </row>
    <row r="81" customFormat="false" ht="19.5" hidden="false" customHeight="true" outlineLevel="0" collapsed="false">
      <c r="A81" s="17" t="n">
        <v>74</v>
      </c>
      <c r="B81" s="18"/>
      <c r="C81" s="19"/>
      <c r="D81" s="19"/>
      <c r="E81" s="20"/>
      <c r="F81" s="21"/>
      <c r="G81" s="22" t="str">
        <f aca="false">IF(E81*F81=0,"",E81*F81)</f>
        <v/>
      </c>
      <c r="H81" s="21"/>
      <c r="I81" s="23" t="str">
        <f aca="false">IF(G81="","",G81-IF(H81="",0,H81))</f>
        <v/>
      </c>
    </row>
    <row r="82" customFormat="false" ht="19.5" hidden="false" customHeight="true" outlineLevel="0" collapsed="false">
      <c r="A82" s="10" t="n">
        <v>75</v>
      </c>
      <c r="B82" s="11"/>
      <c r="C82" s="12"/>
      <c r="D82" s="12"/>
      <c r="E82" s="13"/>
      <c r="F82" s="14"/>
      <c r="G82" s="15" t="str">
        <f aca="false">IF(E82*F82=0,"",E82*F82)</f>
        <v/>
      </c>
      <c r="H82" s="14"/>
      <c r="I82" s="16" t="str">
        <f aca="false">IF(G82="","",G82-IF(H82="",0,H82))</f>
        <v/>
      </c>
    </row>
    <row r="83" customFormat="false" ht="19.5" hidden="false" customHeight="true" outlineLevel="0" collapsed="false">
      <c r="A83" s="17" t="n">
        <v>76</v>
      </c>
      <c r="B83" s="18"/>
      <c r="C83" s="19"/>
      <c r="D83" s="19"/>
      <c r="E83" s="20"/>
      <c r="F83" s="21"/>
      <c r="G83" s="22" t="str">
        <f aca="false">IF(E83*F83=0,"",E83*F83)</f>
        <v/>
      </c>
      <c r="H83" s="21"/>
      <c r="I83" s="23" t="str">
        <f aca="false">IF(G83="","",G83-IF(H83="",0,H83))</f>
        <v/>
      </c>
    </row>
    <row r="84" customFormat="false" ht="19.5" hidden="false" customHeight="true" outlineLevel="0" collapsed="false">
      <c r="A84" s="10" t="n">
        <v>77</v>
      </c>
      <c r="B84" s="11"/>
      <c r="C84" s="12"/>
      <c r="D84" s="12"/>
      <c r="E84" s="13"/>
      <c r="F84" s="14"/>
      <c r="G84" s="15" t="str">
        <f aca="false">IF(E84*F84=0,"",E84*F84)</f>
        <v/>
      </c>
      <c r="H84" s="14"/>
      <c r="I84" s="16" t="str">
        <f aca="false">IF(G84="","",G84-IF(H84="",0,H84))</f>
        <v/>
      </c>
    </row>
    <row r="85" customFormat="false" ht="19.5" hidden="false" customHeight="true" outlineLevel="0" collapsed="false">
      <c r="A85" s="17" t="n">
        <v>78</v>
      </c>
      <c r="B85" s="18"/>
      <c r="C85" s="19"/>
      <c r="D85" s="19"/>
      <c r="E85" s="20"/>
      <c r="F85" s="21"/>
      <c r="G85" s="22" t="str">
        <f aca="false">IF(E85*F85=0,"",E85*F85)</f>
        <v/>
      </c>
      <c r="H85" s="21"/>
      <c r="I85" s="23" t="str">
        <f aca="false">IF(G85="","",G85-IF(H85="",0,H85))</f>
        <v/>
      </c>
    </row>
    <row r="86" customFormat="false" ht="19.5" hidden="false" customHeight="true" outlineLevel="0" collapsed="false">
      <c r="A86" s="10" t="n">
        <v>79</v>
      </c>
      <c r="B86" s="11"/>
      <c r="C86" s="12"/>
      <c r="D86" s="12"/>
      <c r="E86" s="13"/>
      <c r="F86" s="14"/>
      <c r="G86" s="15" t="str">
        <f aca="false">IF(E86*F86=0,"",E86*F86)</f>
        <v/>
      </c>
      <c r="H86" s="14"/>
      <c r="I86" s="16" t="str">
        <f aca="false">IF(G86="","",G86-IF(H86="",0,H86))</f>
        <v/>
      </c>
    </row>
    <row r="87" customFormat="false" ht="19.5" hidden="false" customHeight="true" outlineLevel="0" collapsed="false">
      <c r="A87" s="17" t="n">
        <v>80</v>
      </c>
      <c r="B87" s="18"/>
      <c r="C87" s="19"/>
      <c r="D87" s="19"/>
      <c r="E87" s="20"/>
      <c r="F87" s="21"/>
      <c r="G87" s="22" t="str">
        <f aca="false">IF(E87*F87=0,"",E87*F87)</f>
        <v/>
      </c>
      <c r="H87" s="21"/>
      <c r="I87" s="23" t="str">
        <f aca="false">IF(G87="","",G87-IF(H87="",0,H87))</f>
        <v/>
      </c>
    </row>
    <row r="88" customFormat="false" ht="19.5" hidden="false" customHeight="true" outlineLevel="0" collapsed="false">
      <c r="A88" s="10" t="n">
        <v>81</v>
      </c>
      <c r="B88" s="11"/>
      <c r="C88" s="12"/>
      <c r="D88" s="12"/>
      <c r="E88" s="13"/>
      <c r="F88" s="14"/>
      <c r="G88" s="15" t="str">
        <f aca="false">IF(E88*F88=0,"",E88*F88)</f>
        <v/>
      </c>
      <c r="H88" s="14"/>
      <c r="I88" s="16" t="str">
        <f aca="false">IF(G88="","",G88-IF(H88="",0,H88))</f>
        <v/>
      </c>
    </row>
    <row r="89" customFormat="false" ht="19.5" hidden="false" customHeight="true" outlineLevel="0" collapsed="false">
      <c r="A89" s="17" t="n">
        <v>82</v>
      </c>
      <c r="B89" s="18"/>
      <c r="C89" s="19"/>
      <c r="D89" s="19"/>
      <c r="E89" s="20"/>
      <c r="F89" s="21"/>
      <c r="G89" s="22" t="str">
        <f aca="false">IF(E89*F89=0,"",E89*F89)</f>
        <v/>
      </c>
      <c r="H89" s="21"/>
      <c r="I89" s="23" t="str">
        <f aca="false">IF(G89="","",G89-IF(H89="",0,H89))</f>
        <v/>
      </c>
    </row>
    <row r="90" customFormat="false" ht="19.5" hidden="false" customHeight="true" outlineLevel="0" collapsed="false">
      <c r="A90" s="10" t="n">
        <v>83</v>
      </c>
      <c r="B90" s="11"/>
      <c r="C90" s="12"/>
      <c r="D90" s="12"/>
      <c r="E90" s="13"/>
      <c r="F90" s="14"/>
      <c r="G90" s="15" t="str">
        <f aca="false">IF(E90*F90=0,"",E90*F90)</f>
        <v/>
      </c>
      <c r="H90" s="14"/>
      <c r="I90" s="16" t="str">
        <f aca="false">IF(G90="","",G90-IF(H90="",0,H90))</f>
        <v/>
      </c>
    </row>
    <row r="91" customFormat="false" ht="19.5" hidden="false" customHeight="true" outlineLevel="0" collapsed="false">
      <c r="A91" s="17" t="n">
        <v>84</v>
      </c>
      <c r="B91" s="18"/>
      <c r="C91" s="19"/>
      <c r="D91" s="19"/>
      <c r="E91" s="20"/>
      <c r="F91" s="21"/>
      <c r="G91" s="22" t="str">
        <f aca="false">IF(E91*F91=0,"",E91*F91)</f>
        <v/>
      </c>
      <c r="H91" s="21"/>
      <c r="I91" s="23" t="str">
        <f aca="false">IF(G91="","",G91-IF(H91="",0,H91))</f>
        <v/>
      </c>
    </row>
    <row r="92" customFormat="false" ht="19.5" hidden="false" customHeight="true" outlineLevel="0" collapsed="false">
      <c r="A92" s="10" t="n">
        <v>85</v>
      </c>
      <c r="B92" s="11"/>
      <c r="C92" s="12"/>
      <c r="D92" s="12"/>
      <c r="E92" s="13"/>
      <c r="F92" s="14"/>
      <c r="G92" s="15" t="str">
        <f aca="false">IF(E92*F92=0,"",E92*F92)</f>
        <v/>
      </c>
      <c r="H92" s="14"/>
      <c r="I92" s="16" t="str">
        <f aca="false">IF(G92="","",G92-IF(H92="",0,H92))</f>
        <v/>
      </c>
    </row>
    <row r="93" customFormat="false" ht="19.5" hidden="false" customHeight="true" outlineLevel="0" collapsed="false">
      <c r="A93" s="17" t="n">
        <v>86</v>
      </c>
      <c r="B93" s="18"/>
      <c r="C93" s="19"/>
      <c r="D93" s="19"/>
      <c r="E93" s="20"/>
      <c r="F93" s="21"/>
      <c r="G93" s="22" t="str">
        <f aca="false">IF(E93*F93=0,"",E93*F93)</f>
        <v/>
      </c>
      <c r="H93" s="21"/>
      <c r="I93" s="23" t="str">
        <f aca="false">IF(G93="","",G93-IF(H93="",0,H93))</f>
        <v/>
      </c>
    </row>
    <row r="94" customFormat="false" ht="19.5" hidden="false" customHeight="true" outlineLevel="0" collapsed="false">
      <c r="A94" s="10" t="n">
        <v>87</v>
      </c>
      <c r="B94" s="11"/>
      <c r="C94" s="12"/>
      <c r="D94" s="12"/>
      <c r="E94" s="13"/>
      <c r="F94" s="14"/>
      <c r="G94" s="15" t="str">
        <f aca="false">IF(E94*F94=0,"",E94*F94)</f>
        <v/>
      </c>
      <c r="H94" s="14"/>
      <c r="I94" s="16" t="str">
        <f aca="false">IF(G94="","",G94-IF(H94="",0,H94))</f>
        <v/>
      </c>
    </row>
    <row r="95" customFormat="false" ht="19.5" hidden="false" customHeight="true" outlineLevel="0" collapsed="false">
      <c r="A95" s="17" t="n">
        <v>88</v>
      </c>
      <c r="B95" s="18"/>
      <c r="C95" s="19"/>
      <c r="D95" s="19"/>
      <c r="E95" s="20"/>
      <c r="F95" s="21"/>
      <c r="G95" s="22" t="str">
        <f aca="false">IF(E95*F95=0,"",E95*F95)</f>
        <v/>
      </c>
      <c r="H95" s="21"/>
      <c r="I95" s="23" t="str">
        <f aca="false">IF(G95="","",G95-IF(H95="",0,H95))</f>
        <v/>
      </c>
    </row>
    <row r="96" customFormat="false" ht="19.5" hidden="false" customHeight="true" outlineLevel="0" collapsed="false">
      <c r="A96" s="10" t="n">
        <v>89</v>
      </c>
      <c r="B96" s="11"/>
      <c r="C96" s="12"/>
      <c r="D96" s="12"/>
      <c r="E96" s="13"/>
      <c r="F96" s="14"/>
      <c r="G96" s="15" t="str">
        <f aca="false">IF(E96*F96=0,"",E96*F96)</f>
        <v/>
      </c>
      <c r="H96" s="14"/>
      <c r="I96" s="16" t="str">
        <f aca="false">IF(G96="","",G96-IF(H96="",0,H96))</f>
        <v/>
      </c>
    </row>
    <row r="97" customFormat="false" ht="19.5" hidden="false" customHeight="true" outlineLevel="0" collapsed="false">
      <c r="A97" s="17" t="n">
        <v>90</v>
      </c>
      <c r="B97" s="18"/>
      <c r="C97" s="19"/>
      <c r="D97" s="19"/>
      <c r="E97" s="20"/>
      <c r="F97" s="21"/>
      <c r="G97" s="22" t="str">
        <f aca="false">IF(E97*F97=0,"",E97*F97)</f>
        <v/>
      </c>
      <c r="H97" s="21"/>
      <c r="I97" s="23" t="str">
        <f aca="false">IF(G97="","",G97-IF(H97="",0,H97))</f>
        <v/>
      </c>
    </row>
    <row r="98" customFormat="false" ht="19.5" hidden="false" customHeight="true" outlineLevel="0" collapsed="false">
      <c r="A98" s="10" t="n">
        <v>91</v>
      </c>
      <c r="B98" s="11"/>
      <c r="C98" s="12"/>
      <c r="D98" s="12"/>
      <c r="E98" s="13"/>
      <c r="F98" s="14"/>
      <c r="G98" s="15" t="str">
        <f aca="false">IF(E98*F98=0,"",E98*F98)</f>
        <v/>
      </c>
      <c r="H98" s="14"/>
      <c r="I98" s="16" t="str">
        <f aca="false">IF(G98="","",G98-IF(H98="",0,H98))</f>
        <v/>
      </c>
    </row>
    <row r="99" customFormat="false" ht="19.5" hidden="false" customHeight="true" outlineLevel="0" collapsed="false">
      <c r="A99" s="17" t="n">
        <v>92</v>
      </c>
      <c r="B99" s="18"/>
      <c r="C99" s="19"/>
      <c r="D99" s="19"/>
      <c r="E99" s="20"/>
      <c r="F99" s="21"/>
      <c r="G99" s="22" t="str">
        <f aca="false">IF(E99*F99=0,"",E99*F99)</f>
        <v/>
      </c>
      <c r="H99" s="21"/>
      <c r="I99" s="23" t="str">
        <f aca="false">IF(G99="","",G99-IF(H99="",0,H99))</f>
        <v/>
      </c>
    </row>
    <row r="100" customFormat="false" ht="19.5" hidden="false" customHeight="true" outlineLevel="0" collapsed="false">
      <c r="A100" s="10" t="n">
        <v>93</v>
      </c>
      <c r="B100" s="11"/>
      <c r="C100" s="12"/>
      <c r="D100" s="12"/>
      <c r="E100" s="13"/>
      <c r="F100" s="14"/>
      <c r="G100" s="15" t="str">
        <f aca="false">IF(E100*F100=0,"",E100*F100)</f>
        <v/>
      </c>
      <c r="H100" s="14"/>
      <c r="I100" s="16" t="str">
        <f aca="false">IF(G100="","",G100-IF(H100="",0,H100))</f>
        <v/>
      </c>
    </row>
    <row r="101" customFormat="false" ht="19.5" hidden="false" customHeight="true" outlineLevel="0" collapsed="false">
      <c r="A101" s="17" t="n">
        <v>94</v>
      </c>
      <c r="B101" s="18"/>
      <c r="C101" s="19"/>
      <c r="D101" s="19"/>
      <c r="E101" s="20"/>
      <c r="F101" s="21"/>
      <c r="G101" s="22" t="str">
        <f aca="false">IF(E101*F101=0,"",E101*F101)</f>
        <v/>
      </c>
      <c r="H101" s="21"/>
      <c r="I101" s="23" t="str">
        <f aca="false">IF(G101="","",G101-IF(H101="",0,H101))</f>
        <v/>
      </c>
    </row>
    <row r="102" customFormat="false" ht="19.5" hidden="false" customHeight="true" outlineLevel="0" collapsed="false">
      <c r="A102" s="10" t="n">
        <v>95</v>
      </c>
      <c r="B102" s="11"/>
      <c r="C102" s="12"/>
      <c r="D102" s="12"/>
      <c r="E102" s="13"/>
      <c r="F102" s="14"/>
      <c r="G102" s="15" t="str">
        <f aca="false">IF(E102*F102=0,"",E102*F102)</f>
        <v/>
      </c>
      <c r="H102" s="14"/>
      <c r="I102" s="16" t="str">
        <f aca="false">IF(G102="","",G102-IF(H102="",0,H102))</f>
        <v/>
      </c>
    </row>
    <row r="103" customFormat="false" ht="19.5" hidden="false" customHeight="true" outlineLevel="0" collapsed="false">
      <c r="A103" s="17" t="n">
        <v>96</v>
      </c>
      <c r="B103" s="18"/>
      <c r="C103" s="19"/>
      <c r="D103" s="19"/>
      <c r="E103" s="20"/>
      <c r="F103" s="21"/>
      <c r="G103" s="22" t="str">
        <f aca="false">IF(E103*F103=0,"",E103*F103)</f>
        <v/>
      </c>
      <c r="H103" s="21"/>
      <c r="I103" s="23" t="str">
        <f aca="false">IF(G103="","",G103-IF(H103="",0,H103))</f>
        <v/>
      </c>
    </row>
    <row r="104" customFormat="false" ht="19.5" hidden="false" customHeight="true" outlineLevel="0" collapsed="false">
      <c r="A104" s="10" t="n">
        <v>97</v>
      </c>
      <c r="B104" s="11"/>
      <c r="C104" s="12"/>
      <c r="D104" s="12"/>
      <c r="E104" s="13"/>
      <c r="F104" s="14"/>
      <c r="G104" s="15" t="str">
        <f aca="false">IF(E104*F104=0,"",E104*F104)</f>
        <v/>
      </c>
      <c r="H104" s="14"/>
      <c r="I104" s="16" t="str">
        <f aca="false">IF(G104="","",G104-IF(H104="",0,H104))</f>
        <v/>
      </c>
    </row>
    <row r="105" customFormat="false" ht="19.5" hidden="false" customHeight="true" outlineLevel="0" collapsed="false">
      <c r="A105" s="17" t="n">
        <v>98</v>
      </c>
      <c r="B105" s="18"/>
      <c r="C105" s="19"/>
      <c r="D105" s="19"/>
      <c r="E105" s="20"/>
      <c r="F105" s="21"/>
      <c r="G105" s="22" t="str">
        <f aca="false">IF(E105*F105=0,"",E105*F105)</f>
        <v/>
      </c>
      <c r="H105" s="21"/>
      <c r="I105" s="23" t="str">
        <f aca="false">IF(G105="","",G105-IF(H105="",0,H105))</f>
        <v/>
      </c>
    </row>
    <row r="106" customFormat="false" ht="19.5" hidden="false" customHeight="true" outlineLevel="0" collapsed="false">
      <c r="A106" s="10" t="n">
        <v>99</v>
      </c>
      <c r="B106" s="11"/>
      <c r="C106" s="12"/>
      <c r="D106" s="12"/>
      <c r="E106" s="13"/>
      <c r="F106" s="14"/>
      <c r="G106" s="15" t="str">
        <f aca="false">IF(E106*F106=0,"",E106*F106)</f>
        <v/>
      </c>
      <c r="H106" s="14"/>
      <c r="I106" s="16" t="str">
        <f aca="false">IF(G106="","",G106-IF(H106="",0,H106))</f>
        <v/>
      </c>
    </row>
    <row r="107" customFormat="false" ht="19.5" hidden="false" customHeight="true" outlineLevel="0" collapsed="false">
      <c r="A107" s="17" t="n">
        <v>100</v>
      </c>
      <c r="B107" s="18"/>
      <c r="C107" s="19"/>
      <c r="D107" s="19"/>
      <c r="E107" s="20"/>
      <c r="F107" s="21"/>
      <c r="G107" s="22" t="str">
        <f aca="false">IF(E107*F107=0,"",E107*F107)</f>
        <v/>
      </c>
      <c r="H107" s="21"/>
      <c r="I107" s="23" t="str">
        <f aca="false">IF(G107="","",G107-IF(H107="",0,H107))</f>
        <v/>
      </c>
    </row>
    <row r="108" customFormat="false" ht="24" hidden="false" customHeight="true" outlineLevel="0" collapsed="false">
      <c r="A108" s="24"/>
      <c r="B108" s="25" t="s">
        <v>28</v>
      </c>
      <c r="C108" s="24"/>
      <c r="D108" s="24"/>
      <c r="E108" s="24"/>
      <c r="F108" s="24"/>
      <c r="G108" s="26" t="n">
        <f aca="false">SUMIF(G8:G107,"&gt;0")</f>
        <v>10280</v>
      </c>
      <c r="H108" s="26" t="n">
        <f aca="false">SUMIF(H8:H107,"&gt;0")</f>
        <v>400</v>
      </c>
      <c r="I108" s="27" t="n">
        <f aca="false">SUMIF(I8:I107,"&gt;0")</f>
        <v>9880</v>
      </c>
    </row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  <row r="112" customFormat="false" ht="19.5" hidden="false" customHeight="true" outlineLevel="0" collapsed="false"/>
    <row r="113" customFormat="false" ht="19.5" hidden="false" customHeight="true" outlineLevel="0" collapsed="false"/>
    <row r="114" customFormat="false" ht="19.5" hidden="false" customHeight="true" outlineLevel="0" collapsed="false"/>
    <row r="115" customFormat="false" ht="19.5" hidden="false" customHeight="true" outlineLevel="0" collapsed="false"/>
    <row r="116" customFormat="false" ht="19.5" hidden="false" customHeight="true" outlineLevel="0" collapsed="false"/>
    <row r="117" customFormat="false" ht="19.5" hidden="false" customHeight="true" outlineLevel="0" collapsed="false"/>
    <row r="118" customFormat="false" ht="19.5" hidden="false" customHeight="true" outlineLevel="0" collapsed="false"/>
    <row r="119" customFormat="false" ht="19.5" hidden="false" customHeight="true" outlineLevel="0" collapsed="false"/>
    <row r="120" customFormat="false" ht="19.5" hidden="false" customHeight="true" outlineLevel="0" collapsed="false"/>
    <row r="121" customFormat="false" ht="19.5" hidden="false" customHeight="true" outlineLevel="0" collapsed="false"/>
    <row r="122" customFormat="false" ht="19.5" hidden="false" customHeight="true" outlineLevel="0" collapsed="false"/>
    <row r="123" customFormat="false" ht="19.5" hidden="false" customHeight="true" outlineLevel="0" collapsed="false"/>
    <row r="124" customFormat="false" ht="19.5" hidden="false" customHeight="true" outlineLevel="0" collapsed="false"/>
    <row r="125" customFormat="false" ht="19.5" hidden="false" customHeight="true" outlineLevel="0" collapsed="false"/>
    <row r="126" customFormat="false" ht="19.5" hidden="false" customHeight="true" outlineLevel="0" collapsed="false"/>
    <row r="127" customFormat="false" ht="19.5" hidden="false" customHeight="true" outlineLevel="0" collapsed="false"/>
    <row r="128" customFormat="false" ht="19.5" hidden="false" customHeight="true" outlineLevel="0" collapsed="false"/>
    <row r="129" customFormat="false" ht="19.5" hidden="false" customHeight="true" outlineLevel="0" collapsed="false"/>
    <row r="130" customFormat="false" ht="19.5" hidden="false" customHeight="true" outlineLevel="0" collapsed="false"/>
    <row r="131" customFormat="false" ht="19.5" hidden="false" customHeight="true" outlineLevel="0" collapsed="false"/>
    <row r="132" customFormat="false" ht="19.5" hidden="false" customHeight="true" outlineLevel="0" collapsed="false"/>
    <row r="133" customFormat="false" ht="19.5" hidden="false" customHeight="true" outlineLevel="0" collapsed="false"/>
    <row r="134" customFormat="false" ht="19.5" hidden="false" customHeight="true" outlineLevel="0" collapsed="false"/>
    <row r="135" customFormat="false" ht="19.5" hidden="false" customHeight="true" outlineLevel="0" collapsed="false"/>
    <row r="136" customFormat="false" ht="19.5" hidden="false" customHeight="true" outlineLevel="0" collapsed="false"/>
    <row r="137" customFormat="false" ht="19.5" hidden="false" customHeight="true" outlineLevel="0" collapsed="false"/>
    <row r="138" customFormat="false" ht="19.5" hidden="false" customHeight="true" outlineLevel="0" collapsed="false"/>
    <row r="139" customFormat="false" ht="19.5" hidden="false" customHeight="true" outlineLevel="0" collapsed="false"/>
    <row r="140" customFormat="false" ht="19.5" hidden="false" customHeight="true" outlineLevel="0" collapsed="false"/>
    <row r="141" customFormat="false" ht="19.5" hidden="false" customHeight="true" outlineLevel="0" collapsed="false"/>
    <row r="142" customFormat="false" ht="19.5" hidden="false" customHeight="true" outlineLevel="0" collapsed="false"/>
    <row r="143" customFormat="false" ht="19.5" hidden="false" customHeight="true" outlineLevel="0" collapsed="false"/>
    <row r="144" customFormat="false" ht="19.5" hidden="false" customHeight="true" outlineLevel="0" collapsed="false"/>
    <row r="145" customFormat="false" ht="19.5" hidden="false" customHeight="true" outlineLevel="0" collapsed="false"/>
    <row r="146" customFormat="false" ht="19.5" hidden="false" customHeight="true" outlineLevel="0" collapsed="false"/>
    <row r="147" customFormat="false" ht="19.5" hidden="false" customHeight="true" outlineLevel="0" collapsed="false"/>
    <row r="148" customFormat="false" ht="19.5" hidden="false" customHeight="true" outlineLevel="0" collapsed="false"/>
    <row r="149" customFormat="false" ht="19.5" hidden="false" customHeight="true" outlineLevel="0" collapsed="false"/>
    <row r="150" customFormat="false" ht="19.5" hidden="false" customHeight="true" outlineLevel="0" collapsed="false"/>
    <row r="151" customFormat="false" ht="19.5" hidden="false" customHeight="true" outlineLevel="0" collapsed="false"/>
    <row r="152" customFormat="false" ht="19.5" hidden="false" customHeight="true" outlineLevel="0" collapsed="false"/>
    <row r="153" customFormat="false" ht="19.5" hidden="false" customHeight="true" outlineLevel="0" collapsed="false"/>
    <row r="154" customFormat="false" ht="19.5" hidden="false" customHeight="true" outlineLevel="0" collapsed="false"/>
    <row r="155" customFormat="false" ht="19.5" hidden="false" customHeight="true" outlineLevel="0" collapsed="false"/>
    <row r="156" customFormat="false" ht="19.5" hidden="false" customHeight="true" outlineLevel="0" collapsed="false"/>
    <row r="157" customFormat="false" ht="19.5" hidden="false" customHeight="true" outlineLevel="0" collapsed="false"/>
    <row r="158" customFormat="false" ht="19.5" hidden="false" customHeight="true" outlineLevel="0" collapsed="false"/>
    <row r="159" customFormat="false" ht="19.5" hidden="false" customHeight="true" outlineLevel="0" collapsed="false"/>
    <row r="160" customFormat="false" ht="19.5" hidden="false" customHeight="true" outlineLevel="0" collapsed="false"/>
    <row r="161" customFormat="false" ht="19.5" hidden="false" customHeight="true" outlineLevel="0" collapsed="false"/>
    <row r="162" customFormat="false" ht="19.5" hidden="false" customHeight="true" outlineLevel="0" collapsed="false"/>
    <row r="163" customFormat="false" ht="19.5" hidden="false" customHeight="true" outlineLevel="0" collapsed="false"/>
    <row r="164" customFormat="false" ht="19.5" hidden="false" customHeight="true" outlineLevel="0" collapsed="false"/>
    <row r="165" customFormat="false" ht="19.5" hidden="false" customHeight="true" outlineLevel="0" collapsed="false"/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  <row r="173" customFormat="false" ht="19.5" hidden="false" customHeight="true" outlineLevel="0" collapsed="false"/>
    <row r="174" customFormat="false" ht="19.5" hidden="false" customHeight="true" outlineLevel="0" collapsed="false"/>
    <row r="175" customFormat="false" ht="19.5" hidden="false" customHeight="true" outlineLevel="0" collapsed="false"/>
    <row r="176" customFormat="false" ht="19.5" hidden="false" customHeight="true" outlineLevel="0" collapsed="false"/>
    <row r="177" customFormat="false" ht="19.5" hidden="false" customHeight="true" outlineLevel="0" collapsed="false"/>
    <row r="178" customFormat="false" ht="19.5" hidden="false" customHeight="true" outlineLevel="0" collapsed="false"/>
    <row r="179" customFormat="false" ht="19.5" hidden="false" customHeight="true" outlineLevel="0" collapsed="false"/>
    <row r="180" customFormat="false" ht="19.5" hidden="false" customHeight="true" outlineLevel="0" collapsed="false"/>
    <row r="181" customFormat="false" ht="19.5" hidden="false" customHeight="true" outlineLevel="0" collapsed="false"/>
    <row r="182" customFormat="false" ht="19.5" hidden="false" customHeight="true" outlineLevel="0" collapsed="false"/>
    <row r="183" customFormat="false" ht="19.5" hidden="false" customHeight="true" outlineLevel="0" collapsed="false"/>
    <row r="184" customFormat="false" ht="19.5" hidden="false" customHeight="true" outlineLevel="0" collapsed="false"/>
    <row r="185" customFormat="false" ht="19.5" hidden="false" customHeight="true" outlineLevel="0" collapsed="false"/>
    <row r="186" customFormat="false" ht="19.5" hidden="false" customHeight="true" outlineLevel="0" collapsed="false"/>
    <row r="187" customFormat="false" ht="19.5" hidden="false" customHeight="true" outlineLevel="0" collapsed="false"/>
    <row r="188" customFormat="false" ht="19.5" hidden="false" customHeight="true" outlineLevel="0" collapsed="false"/>
    <row r="189" customFormat="false" ht="19.5" hidden="false" customHeight="true" outlineLevel="0" collapsed="false"/>
    <row r="190" customFormat="false" ht="19.5" hidden="false" customHeight="true" outlineLevel="0" collapsed="false"/>
    <row r="191" customFormat="false" ht="19.5" hidden="false" customHeight="true" outlineLevel="0" collapsed="false"/>
    <row r="192" customFormat="false" ht="19.5" hidden="false" customHeight="true" outlineLevel="0" collapsed="false"/>
    <row r="193" customFormat="false" ht="19.5" hidden="false" customHeight="true" outlineLevel="0" collapsed="false"/>
    <row r="194" customFormat="false" ht="19.5" hidden="false" customHeight="true" outlineLevel="0" collapsed="false"/>
    <row r="195" customFormat="false" ht="19.5" hidden="false" customHeight="true" outlineLevel="0" collapsed="false"/>
    <row r="196" customFormat="false" ht="19.5" hidden="false" customHeight="true" outlineLevel="0" collapsed="false"/>
    <row r="197" customFormat="false" ht="19.5" hidden="false" customHeight="true" outlineLevel="0" collapsed="false"/>
    <row r="198" customFormat="false" ht="19.5" hidden="false" customHeight="true" outlineLevel="0" collapsed="false"/>
    <row r="199" customFormat="false" ht="19.5" hidden="false" customHeight="true" outlineLevel="0" collapsed="false"/>
  </sheetData>
  <dataValidations count="1">
    <dataValidation allowBlank="true" errorStyle="stop" operator="between" showDropDown="false" showErrorMessage="false" showInputMessage="false" sqref="D8:D500" type="list">
      <formula1>"Food &amp; Beverage,Medicine,Clothing,Electronics,Services,Hair &amp; Beauty,Other"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H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7" min="3" style="1" width="16"/>
    <col collapsed="false" customWidth="true" hidden="false" outlineLevel="0" max="8" min="8" style="1" width="3"/>
  </cols>
  <sheetData>
    <row r="1" customFormat="false" ht="19.5" hidden="false" customHeight="true" outlineLevel="0" collapsed="false"/>
    <row r="2" customFormat="false" ht="51.75" hidden="false" customHeight="true" outlineLevel="0" collapsed="false">
      <c r="A2" s="28"/>
      <c r="B2" s="29" t="s">
        <v>29</v>
      </c>
      <c r="C2" s="28"/>
      <c r="D2" s="28"/>
      <c r="E2" s="30" t="s">
        <v>30</v>
      </c>
      <c r="F2" s="31" t="n">
        <v>46184</v>
      </c>
      <c r="G2" s="28"/>
      <c r="H2" s="28"/>
    </row>
    <row r="3" customFormat="false" ht="19.5" hidden="false" customHeight="true" outlineLevel="0" collapsed="false"/>
    <row r="4" customFormat="false" ht="25.5" hidden="false" customHeight="true" outlineLevel="0" collapsed="false">
      <c r="B4" s="32" t="s">
        <v>31</v>
      </c>
    </row>
    <row r="5" customFormat="false" ht="19.5" hidden="false" customHeight="true" outlineLevel="0" collapsed="false"/>
    <row r="6" customFormat="false" ht="18" hidden="false" customHeight="true" outlineLevel="0" collapsed="false">
      <c r="B6" s="33" t="s">
        <v>32</v>
      </c>
      <c r="C6" s="33" t="s">
        <v>33</v>
      </c>
      <c r="D6" s="33" t="s">
        <v>34</v>
      </c>
      <c r="E6" s="33" t="s">
        <v>12</v>
      </c>
      <c r="F6" s="33" t="s">
        <v>35</v>
      </c>
    </row>
    <row r="7" customFormat="false" ht="36" hidden="false" customHeight="true" outlineLevel="0" collapsed="false">
      <c r="B7" s="34" t="n">
        <f aca="false">COUNTIFS('📋 Sales Entry'!B8:B107,F2,'📋 Sales Entry'!I8:I107,"&gt;0")</f>
        <v>5</v>
      </c>
      <c r="C7" s="35" t="n">
        <f aca="false">SUMIF('📋 Sales Entry'!B8:B107,F2,'📋 Sales Entry'!G8:G107)</f>
        <v>4070</v>
      </c>
      <c r="D7" s="36" t="n">
        <f aca="false">SUMIF('📋 Sales Entry'!B8:B107,F2,'📋 Sales Entry'!H8:H107)</f>
        <v>150</v>
      </c>
      <c r="E7" s="37" t="n">
        <f aca="false">SUMIF('📋 Sales Entry'!B8:B107,F2,'📋 Sales Entry'!I8:I107)</f>
        <v>3920</v>
      </c>
      <c r="F7" s="38" t="n">
        <f aca="false">IFERROR(SUMIF('📋 Sales Entry'!B8:B107,F2,'📋 Sales Entry'!I8:I107)/COUNTIFS('📋 Sales Entry'!B8:B107,F2,'📋 Sales Entry'!I8:I107,"&gt;0"),0)</f>
        <v>784</v>
      </c>
    </row>
    <row r="8" customFormat="false" ht="18" hidden="false" customHeight="true" outlineLevel="0" collapsed="false">
      <c r="B8" s="39"/>
      <c r="C8" s="24"/>
      <c r="D8" s="40"/>
      <c r="E8" s="41"/>
      <c r="F8" s="42"/>
    </row>
    <row r="9" customFormat="false" ht="19.5" hidden="false" customHeight="true" outlineLevel="0" collapsed="false"/>
    <row r="10" customFormat="false" ht="19.5" hidden="false" customHeight="true" outlineLevel="0" collapsed="false">
      <c r="B10" s="43" t="s">
        <v>36</v>
      </c>
    </row>
    <row r="11" customFormat="false" ht="19.5" hidden="false" customHeight="true" outlineLevel="0" collapsed="false">
      <c r="B11" s="44" t="s">
        <v>7</v>
      </c>
      <c r="C11" s="44" t="s">
        <v>37</v>
      </c>
      <c r="D11" s="44" t="s">
        <v>12</v>
      </c>
      <c r="E11" s="44" t="s">
        <v>38</v>
      </c>
    </row>
    <row r="12" customFormat="false" ht="19.5" hidden="false" customHeight="true" outlineLevel="0" collapsed="false">
      <c r="B12" s="45" t="s">
        <v>16</v>
      </c>
      <c r="C12" s="46" t="n">
        <f aca="false">COUNTIFS('📋 Sales Entry'!B8:B107,F2,'📋 Sales Entry'!D8:D107,B12,'📋 Sales Entry'!I8:I107,"&gt;0")</f>
        <v>1</v>
      </c>
      <c r="D12" s="47" t="n">
        <f aca="false">SUMIFS('📋 Sales Entry'!I8:I107,'📋 Sales Entry'!B8:B107,F2,'📋 Sales Entry'!D8:D107,B12)</f>
        <v>700</v>
      </c>
      <c r="E12" s="48" t="n">
        <f aca="false">IFERROR(D12/G7,0)</f>
        <v>0</v>
      </c>
    </row>
    <row r="13" customFormat="false" ht="19.5" hidden="false" customHeight="true" outlineLevel="0" collapsed="false">
      <c r="B13" s="49" t="s">
        <v>14</v>
      </c>
      <c r="C13" s="50" t="n">
        <f aca="false">COUNTIFS('📋 Sales Entry'!B8:B107,F2,'📋 Sales Entry'!D8:D107,B13,'📋 Sales Entry'!I8:I107,"&gt;0")</f>
        <v>1</v>
      </c>
      <c r="D13" s="51" t="n">
        <f aca="false">SUMIFS('📋 Sales Entry'!I8:I107,'📋 Sales Entry'!B8:B107,F2,'📋 Sales Entry'!D8:D107,B13)</f>
        <v>360</v>
      </c>
      <c r="E13" s="52" t="n">
        <f aca="false">IFERROR(D13/G7,0)</f>
        <v>0</v>
      </c>
    </row>
    <row r="14" customFormat="false" ht="19.5" hidden="false" customHeight="true" outlineLevel="0" collapsed="false">
      <c r="B14" s="45" t="s">
        <v>22</v>
      </c>
      <c r="C14" s="46" t="n">
        <f aca="false">COUNTIFS('📋 Sales Entry'!B8:B107,F2,'📋 Sales Entry'!D8:D107,B14,'📋 Sales Entry'!I8:I107,"&gt;0")</f>
        <v>1</v>
      </c>
      <c r="D14" s="47" t="n">
        <f aca="false">SUMIFS('📋 Sales Entry'!I8:I107,'📋 Sales Entry'!B8:B107,F2,'📋 Sales Entry'!D8:D107,B14)</f>
        <v>1700</v>
      </c>
      <c r="E14" s="48" t="n">
        <f aca="false">IFERROR(D14/G7,0)</f>
        <v>0</v>
      </c>
    </row>
    <row r="15" customFormat="false" ht="19.5" hidden="false" customHeight="true" outlineLevel="0" collapsed="false">
      <c r="B15" s="49" t="s">
        <v>20</v>
      </c>
      <c r="C15" s="50" t="n">
        <f aca="false">COUNTIFS('📋 Sales Entry'!B8:B107,F2,'📋 Sales Entry'!D8:D107,B15,'📋 Sales Entry'!I8:I107,"&gt;0")</f>
        <v>1</v>
      </c>
      <c r="D15" s="51" t="n">
        <f aca="false">SUMIFS('📋 Sales Entry'!I8:I107,'📋 Sales Entry'!B8:B107,F2,'📋 Sales Entry'!D8:D107,B15)</f>
        <v>560</v>
      </c>
      <c r="E15" s="52" t="n">
        <f aca="false">IFERROR(D15/G7,0)</f>
        <v>0</v>
      </c>
    </row>
    <row r="16" customFormat="false" ht="19.5" hidden="false" customHeight="true" outlineLevel="0" collapsed="false">
      <c r="B16" s="45" t="s">
        <v>39</v>
      </c>
      <c r="C16" s="46" t="n">
        <f aca="false">COUNTIFS('📋 Sales Entry'!B8:B107,F2,'📋 Sales Entry'!D8:D107,B16,'📋 Sales Entry'!I8:I107,"&gt;0")</f>
        <v>0</v>
      </c>
      <c r="D16" s="47" t="n">
        <f aca="false">SUMIFS('📋 Sales Entry'!I8:I107,'📋 Sales Entry'!B8:B107,F2,'📋 Sales Entry'!D8:D107,B16)</f>
        <v>0</v>
      </c>
      <c r="E16" s="48" t="n">
        <f aca="false">IFERROR(D16/G7,0)</f>
        <v>0</v>
      </c>
    </row>
    <row r="17" customFormat="false" ht="19.5" hidden="false" customHeight="true" outlineLevel="0" collapsed="false">
      <c r="B17" s="49" t="s">
        <v>18</v>
      </c>
      <c r="C17" s="50" t="n">
        <f aca="false">COUNTIFS('📋 Sales Entry'!B8:B107,F2,'📋 Sales Entry'!D8:D107,B17,'📋 Sales Entry'!I8:I107,"&gt;0")</f>
        <v>1</v>
      </c>
      <c r="D17" s="51" t="n">
        <f aca="false">SUMIFS('📋 Sales Entry'!I8:I107,'📋 Sales Entry'!B8:B107,F2,'📋 Sales Entry'!D8:D107,B17)</f>
        <v>600</v>
      </c>
      <c r="E17" s="52" t="n">
        <f aca="false">IFERROR(D17/G7,0)</f>
        <v>0</v>
      </c>
    </row>
    <row r="18" customFormat="false" ht="19.5" hidden="false" customHeight="true" outlineLevel="0" collapsed="false">
      <c r="B18" s="45" t="s">
        <v>40</v>
      </c>
      <c r="C18" s="46" t="n">
        <f aca="false">COUNTIFS('📋 Sales Entry'!B8:B107,F2,'📋 Sales Entry'!D8:D107,B18,'📋 Sales Entry'!I8:I107,"&gt;0")</f>
        <v>0</v>
      </c>
      <c r="D18" s="47" t="n">
        <f aca="false">SUMIFS('📋 Sales Entry'!I8:I107,'📋 Sales Entry'!B8:B107,F2,'📋 Sales Entry'!D8:D107,B18)</f>
        <v>0</v>
      </c>
      <c r="E18" s="48" t="n">
        <f aca="false">IFERROR(D18/G7,0)</f>
        <v>0</v>
      </c>
    </row>
    <row r="19" customFormat="false" ht="24" hidden="false" customHeight="true" outlineLevel="0" collapsed="false">
      <c r="B19" s="53" t="s">
        <v>41</v>
      </c>
      <c r="C19" s="54" t="n">
        <f aca="false">SUM(C12:C18)</f>
        <v>5</v>
      </c>
      <c r="D19" s="26" t="n">
        <f aca="false">SUM(D12:D18)</f>
        <v>3920</v>
      </c>
      <c r="E19" s="55" t="n">
        <f aca="false">SUM(E12:E18)</f>
        <v>0</v>
      </c>
    </row>
    <row r="20" customFormat="false" ht="19.5" hidden="false" customHeight="true" outlineLevel="0" collapsed="false"/>
    <row r="21" customFormat="false" ht="19.5" hidden="false" customHeight="true" outlineLevel="0" collapsed="false">
      <c r="B21" s="43" t="s">
        <v>42</v>
      </c>
    </row>
    <row r="22" customFormat="false" ht="19.5" hidden="false" customHeight="true" outlineLevel="0" collapsed="false">
      <c r="B22" s="56" t="s">
        <v>43</v>
      </c>
    </row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J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9" min="3" style="1" width="14"/>
    <col collapsed="false" customWidth="true" hidden="false" outlineLevel="0" max="10" min="10" style="1" width="3"/>
  </cols>
  <sheetData>
    <row r="1" customFormat="false" ht="19.5" hidden="false" customHeight="true" outlineLevel="0" collapsed="false"/>
    <row r="2" customFormat="false" ht="51.75" hidden="false" customHeight="true" outlineLevel="0" collapsed="false">
      <c r="A2" s="2"/>
      <c r="B2" s="3" t="s">
        <v>44</v>
      </c>
      <c r="C2" s="2"/>
      <c r="D2" s="2"/>
      <c r="E2" s="2"/>
      <c r="F2" s="2"/>
      <c r="G2" s="2"/>
      <c r="H2" s="2"/>
      <c r="I2" s="2"/>
      <c r="J2" s="2"/>
    </row>
    <row r="3" customFormat="false" ht="19.5" hidden="false" customHeight="true" outlineLevel="0" collapsed="false"/>
    <row r="4" customFormat="false" ht="19.5" hidden="false" customHeight="true" outlineLevel="0" collapsed="false">
      <c r="B4" s="57" t="s">
        <v>45</v>
      </c>
      <c r="D4" s="58" t="n">
        <v>46181</v>
      </c>
      <c r="F4" s="57" t="s">
        <v>46</v>
      </c>
      <c r="H4" s="58" t="n">
        <f aca="false">D4+6</f>
        <v>46187</v>
      </c>
    </row>
    <row r="5" customFormat="false" ht="19.5" hidden="false" customHeight="true" outlineLevel="0" collapsed="false"/>
    <row r="6" customFormat="false" ht="19.5" hidden="false" customHeight="true" outlineLevel="0" collapsed="false">
      <c r="B6" s="59" t="s">
        <v>47</v>
      </c>
      <c r="C6" s="59" t="s">
        <v>5</v>
      </c>
      <c r="D6" s="59" t="s">
        <v>37</v>
      </c>
      <c r="E6" s="59" t="s">
        <v>33</v>
      </c>
      <c r="F6" s="59" t="s">
        <v>48</v>
      </c>
      <c r="G6" s="59" t="s">
        <v>12</v>
      </c>
      <c r="H6" s="59" t="s">
        <v>49</v>
      </c>
    </row>
    <row r="7" customFormat="false" ht="19.5" hidden="false" customHeight="true" outlineLevel="0" collapsed="false">
      <c r="B7" s="49" t="s">
        <v>50</v>
      </c>
      <c r="C7" s="60" t="n">
        <f aca="false">$D$4+0</f>
        <v>46181</v>
      </c>
      <c r="D7" s="50" t="n">
        <f aca="false">COUNTIFS('📋 Sales Entry'!B8:B107,C7,'📋 Sales Entry'!I8:I107,"&gt;0")</f>
        <v>0</v>
      </c>
      <c r="E7" s="61" t="n">
        <f aca="false">SUMIF('📋 Sales Entry'!B8:B107,C7,'📋 Sales Entry'!G8:G107)</f>
        <v>0</v>
      </c>
      <c r="F7" s="62" t="n">
        <f aca="false">SUMIF('📋 Sales Entry'!B8:B107,C7,'📋 Sales Entry'!H8:H107)</f>
        <v>0</v>
      </c>
      <c r="G7" s="51" t="n">
        <f aca="false">SUMIF('📋 Sales Entry'!B8:B107,C7,'📋 Sales Entry'!I8:I107)</f>
        <v>0</v>
      </c>
      <c r="H7" s="63" t="s">
        <v>51</v>
      </c>
    </row>
    <row r="8" customFormat="false" ht="19.5" hidden="false" customHeight="true" outlineLevel="0" collapsed="false">
      <c r="B8" s="45" t="s">
        <v>52</v>
      </c>
      <c r="C8" s="64" t="n">
        <f aca="false">$D$4+1</f>
        <v>46182</v>
      </c>
      <c r="D8" s="46" t="n">
        <f aca="false">COUNTIFS('📋 Sales Entry'!B8:B107,C8,'📋 Sales Entry'!I8:I107,"&gt;0")</f>
        <v>2</v>
      </c>
      <c r="E8" s="65" t="n">
        <f aca="false">SUMIF('📋 Sales Entry'!B8:B107,C8,'📋 Sales Entry'!G8:G107)</f>
        <v>3450</v>
      </c>
      <c r="F8" s="66" t="n">
        <f aca="false">SUMIF('📋 Sales Entry'!B8:B107,C8,'📋 Sales Entry'!H8:H107)</f>
        <v>250</v>
      </c>
      <c r="G8" s="47" t="n">
        <f aca="false">SUMIF('📋 Sales Entry'!B8:B107,C8,'📋 Sales Entry'!I8:I107)</f>
        <v>3200</v>
      </c>
      <c r="H8" s="67" t="n">
        <f aca="false">IFERROR((G8-G7)/G7,0)</f>
        <v>0</v>
      </c>
    </row>
    <row r="9" customFormat="false" ht="19.5" hidden="false" customHeight="true" outlineLevel="0" collapsed="false">
      <c r="B9" s="49" t="s">
        <v>53</v>
      </c>
      <c r="C9" s="60" t="n">
        <f aca="false">$D$4+2</f>
        <v>46183</v>
      </c>
      <c r="D9" s="50" t="n">
        <f aca="false">COUNTIFS('📋 Sales Entry'!B8:B107,C9,'📋 Sales Entry'!I8:I107,"&gt;0")</f>
        <v>3</v>
      </c>
      <c r="E9" s="61" t="n">
        <f aca="false">SUMIF('📋 Sales Entry'!B8:B107,C9,'📋 Sales Entry'!G8:G107)</f>
        <v>2760</v>
      </c>
      <c r="F9" s="62" t="n">
        <f aca="false">SUMIF('📋 Sales Entry'!B8:B107,C9,'📋 Sales Entry'!H8:H107)</f>
        <v>0</v>
      </c>
      <c r="G9" s="51" t="n">
        <f aca="false">SUMIF('📋 Sales Entry'!B8:B107,C9,'📋 Sales Entry'!I8:I107)</f>
        <v>2760</v>
      </c>
      <c r="H9" s="68" t="n">
        <f aca="false">IFERROR((G9-G8)/G8,0)</f>
        <v>-0.1375</v>
      </c>
    </row>
    <row r="10" customFormat="false" ht="19.5" hidden="false" customHeight="true" outlineLevel="0" collapsed="false">
      <c r="B10" s="45" t="s">
        <v>54</v>
      </c>
      <c r="C10" s="64" t="n">
        <f aca="false">$D$4+3</f>
        <v>46184</v>
      </c>
      <c r="D10" s="46" t="n">
        <f aca="false">COUNTIFS('📋 Sales Entry'!B8:B107,C10,'📋 Sales Entry'!I8:I107,"&gt;0")</f>
        <v>5</v>
      </c>
      <c r="E10" s="65" t="n">
        <f aca="false">SUMIF('📋 Sales Entry'!B8:B107,C10,'📋 Sales Entry'!G8:G107)</f>
        <v>4070</v>
      </c>
      <c r="F10" s="66" t="n">
        <f aca="false">SUMIF('📋 Sales Entry'!B8:B107,C10,'📋 Sales Entry'!H8:H107)</f>
        <v>150</v>
      </c>
      <c r="G10" s="47" t="n">
        <f aca="false">SUMIF('📋 Sales Entry'!B8:B107,C10,'📋 Sales Entry'!I8:I107)</f>
        <v>3920</v>
      </c>
      <c r="H10" s="67" t="n">
        <f aca="false">IFERROR((G10-G9)/G9,0)</f>
        <v>0.420289855072464</v>
      </c>
    </row>
    <row r="11" customFormat="false" ht="19.5" hidden="false" customHeight="true" outlineLevel="0" collapsed="false">
      <c r="B11" s="49" t="s">
        <v>55</v>
      </c>
      <c r="C11" s="60" t="n">
        <f aca="false">$D$4+4</f>
        <v>46185</v>
      </c>
      <c r="D11" s="50" t="n">
        <f aca="false">COUNTIFS('📋 Sales Entry'!B8:B107,C11,'📋 Sales Entry'!I8:I107,"&gt;0")</f>
        <v>0</v>
      </c>
      <c r="E11" s="61" t="n">
        <f aca="false">SUMIF('📋 Sales Entry'!B8:B107,C11,'📋 Sales Entry'!G8:G107)</f>
        <v>0</v>
      </c>
      <c r="F11" s="62" t="n">
        <f aca="false">SUMIF('📋 Sales Entry'!B8:B107,C11,'📋 Sales Entry'!H8:H107)</f>
        <v>0</v>
      </c>
      <c r="G11" s="51" t="n">
        <f aca="false">SUMIF('📋 Sales Entry'!B8:B107,C11,'📋 Sales Entry'!I8:I107)</f>
        <v>0</v>
      </c>
      <c r="H11" s="68" t="n">
        <f aca="false">IFERROR((G11-G10)/G10,0)</f>
        <v>-1</v>
      </c>
    </row>
    <row r="12" customFormat="false" ht="19.5" hidden="false" customHeight="true" outlineLevel="0" collapsed="false">
      <c r="B12" s="45" t="s">
        <v>56</v>
      </c>
      <c r="C12" s="64" t="n">
        <f aca="false">$D$4+5</f>
        <v>46186</v>
      </c>
      <c r="D12" s="46" t="n">
        <f aca="false">COUNTIFS('📋 Sales Entry'!B8:B107,C12,'📋 Sales Entry'!I8:I107,"&gt;0")</f>
        <v>0</v>
      </c>
      <c r="E12" s="65" t="n">
        <f aca="false">SUMIF('📋 Sales Entry'!B8:B107,C12,'📋 Sales Entry'!G8:G107)</f>
        <v>0</v>
      </c>
      <c r="F12" s="66" t="n">
        <f aca="false">SUMIF('📋 Sales Entry'!B8:B107,C12,'📋 Sales Entry'!H8:H107)</f>
        <v>0</v>
      </c>
      <c r="G12" s="47" t="n">
        <f aca="false">SUMIF('📋 Sales Entry'!B8:B107,C12,'📋 Sales Entry'!I8:I107)</f>
        <v>0</v>
      </c>
      <c r="H12" s="67" t="n">
        <f aca="false">IFERROR((G12-G11)/G11,0)</f>
        <v>0</v>
      </c>
    </row>
    <row r="13" customFormat="false" ht="19.5" hidden="false" customHeight="true" outlineLevel="0" collapsed="false">
      <c r="B13" s="49" t="s">
        <v>57</v>
      </c>
      <c r="C13" s="60" t="n">
        <f aca="false">$D$4+6</f>
        <v>46187</v>
      </c>
      <c r="D13" s="50" t="n">
        <f aca="false">COUNTIFS('📋 Sales Entry'!B8:B107,C13,'📋 Sales Entry'!I8:I107,"&gt;0")</f>
        <v>0</v>
      </c>
      <c r="E13" s="61" t="n">
        <f aca="false">SUMIF('📋 Sales Entry'!B8:B107,C13,'📋 Sales Entry'!G8:G107)</f>
        <v>0</v>
      </c>
      <c r="F13" s="62" t="n">
        <f aca="false">SUMIF('📋 Sales Entry'!B8:B107,C13,'📋 Sales Entry'!H8:H107)</f>
        <v>0</v>
      </c>
      <c r="G13" s="51" t="n">
        <f aca="false">SUMIF('📋 Sales Entry'!B8:B107,C13,'📋 Sales Entry'!I8:I107)</f>
        <v>0</v>
      </c>
      <c r="H13" s="68" t="n">
        <f aca="false">IFERROR((G13-G12)/G12,0)</f>
        <v>0</v>
      </c>
    </row>
    <row r="14" customFormat="false" ht="25.5" hidden="false" customHeight="true" outlineLevel="0" collapsed="false">
      <c r="B14" s="69" t="s">
        <v>58</v>
      </c>
      <c r="C14" s="70"/>
      <c r="D14" s="71" t="n">
        <f aca="false">SUM(D7:D13)</f>
        <v>10</v>
      </c>
      <c r="E14" s="72" t="n">
        <f aca="false">SUM(E7:E13)</f>
        <v>10280</v>
      </c>
      <c r="F14" s="73" t="n">
        <f aca="false">SUM(F7:F13)</f>
        <v>400</v>
      </c>
      <c r="G14" s="73" t="n">
        <f aca="false">SUM(G7:G13)</f>
        <v>9880</v>
      </c>
      <c r="H14" s="70"/>
    </row>
    <row r="15" customFormat="false" ht="19.5" hidden="false" customHeight="true" outlineLevel="0" collapsed="false"/>
    <row r="16" customFormat="false" ht="19.5" hidden="false" customHeight="true" outlineLevel="0" collapsed="false">
      <c r="B16" s="43" t="s">
        <v>59</v>
      </c>
    </row>
    <row r="17" customFormat="false" ht="19.5" hidden="false" customHeight="true" outlineLevel="0" collapsed="false">
      <c r="B17" s="49" t="s">
        <v>60</v>
      </c>
      <c r="D17" s="74" t="str">
        <f aca="false">INDEX(B7:B13,MATCH(MAX(G7:G13),G7:G13,0))</f>
        <v>Thursday</v>
      </c>
    </row>
    <row r="18" customFormat="false" ht="19.5" hidden="false" customHeight="true" outlineLevel="0" collapsed="false">
      <c r="B18" s="45" t="s">
        <v>61</v>
      </c>
      <c r="D18" s="75" t="n">
        <f aca="false">MAX(G7:G13)</f>
        <v>3920</v>
      </c>
    </row>
    <row r="19" customFormat="false" ht="19.5" hidden="false" customHeight="true" outlineLevel="0" collapsed="false">
      <c r="B19" s="49" t="s">
        <v>62</v>
      </c>
      <c r="D19" s="76" t="str">
        <f aca="false">IFERROR(INDEX(B7:B13,MATCH(MAX(G7:G13),G7:G13,0)),"—")</f>
        <v>Thursday</v>
      </c>
    </row>
    <row r="20" customFormat="false" ht="19.5" hidden="false" customHeight="true" outlineLevel="0" collapsed="false">
      <c r="B20" s="45" t="s">
        <v>63</v>
      </c>
      <c r="D20" s="77" t="n">
        <f aca="false">IFERROR(G14/COUNTIF(G7:G13,"&gt;0"),0)</f>
        <v>3293.33333333333</v>
      </c>
    </row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A623"/>
    <pageSetUpPr fitToPage="false"/>
  </sheetPr>
  <dimension ref="A1:H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7" min="3" style="1" width="14"/>
    <col collapsed="false" customWidth="true" hidden="false" outlineLevel="0" max="8" min="8" style="1" width="3"/>
  </cols>
  <sheetData>
    <row r="1" customFormat="false" ht="19.5" hidden="false" customHeight="true" outlineLevel="0" collapsed="false"/>
    <row r="2" customFormat="false" ht="51.75" hidden="false" customHeight="true" outlineLevel="0" collapsed="false">
      <c r="A2" s="78"/>
      <c r="B2" s="79" t="s">
        <v>64</v>
      </c>
      <c r="C2" s="78"/>
      <c r="D2" s="78"/>
      <c r="E2" s="78"/>
      <c r="F2" s="78"/>
      <c r="G2" s="78"/>
      <c r="H2" s="78"/>
    </row>
    <row r="3" customFormat="false" ht="19.5" hidden="false" customHeight="true" outlineLevel="0" collapsed="false"/>
    <row r="4" customFormat="false" ht="19.5" hidden="false" customHeight="true" outlineLevel="0" collapsed="false">
      <c r="B4" s="57" t="s">
        <v>65</v>
      </c>
      <c r="D4" s="80" t="n">
        <v>6</v>
      </c>
      <c r="E4" s="57" t="s">
        <v>66</v>
      </c>
      <c r="F4" s="80" t="n">
        <v>2026</v>
      </c>
    </row>
    <row r="5" customFormat="false" ht="19.5" hidden="false" customHeight="true" outlineLevel="0" collapsed="false"/>
    <row r="6" customFormat="false" ht="19.5" hidden="false" customHeight="true" outlineLevel="0" collapsed="false">
      <c r="B6" s="43" t="s">
        <v>67</v>
      </c>
    </row>
    <row r="7" customFormat="false" ht="19.5" hidden="false" customHeight="true" outlineLevel="0" collapsed="false">
      <c r="B7" s="81" t="s">
        <v>7</v>
      </c>
      <c r="C7" s="81" t="s">
        <v>37</v>
      </c>
      <c r="D7" s="81" t="s">
        <v>12</v>
      </c>
      <c r="E7" s="81" t="s">
        <v>68</v>
      </c>
      <c r="F7" s="81" t="s">
        <v>69</v>
      </c>
    </row>
    <row r="8" customFormat="false" ht="19.5" hidden="false" customHeight="true" outlineLevel="0" collapsed="false">
      <c r="B8" s="45" t="s">
        <v>16</v>
      </c>
      <c r="C8" s="46" t="n">
        <f aca="false">SUMPRODUCT((MONTH('📋 Sales Entry'!B8:B107)=$D$4)*(YEAR('📋 Sales Entry'!B8:B107)=$F$4)*('📋 Sales Entry'!D8:D107=B8)*('📋 Sales Entry'!I8:I107&gt;0))</f>
        <v>2</v>
      </c>
      <c r="D8" s="47" t="n">
        <f aca="false">SUMPRODUCT((MONTH('📋 Sales Entry'!B8:B107)=$D$4)*(YEAR('📋 Sales Entry'!B8:B107)=$F$4)*('📋 Sales Entry'!D8:D107=B8)*IFERROR('📋 Sales Entry'!I8:I107*1,0))</f>
        <v>2500</v>
      </c>
      <c r="E8" s="65" t="n">
        <f aca="false">IFERROR(D8/C8,0)</f>
        <v>1250</v>
      </c>
      <c r="F8" s="48" t="n">
        <f aca="false">IFERROR(D8/G16,0)</f>
        <v>0</v>
      </c>
    </row>
    <row r="9" customFormat="false" ht="19.5" hidden="false" customHeight="true" outlineLevel="0" collapsed="false">
      <c r="B9" s="49" t="s">
        <v>14</v>
      </c>
      <c r="C9" s="50" t="n">
        <f aca="false">SUMPRODUCT((MONTH('📋 Sales Entry'!B8:B107)=$D$4)*(YEAR('📋 Sales Entry'!B8:B107)=$F$4)*('📋 Sales Entry'!D8:D107=B9)*('📋 Sales Entry'!I8:I107&gt;0))</f>
        <v>2</v>
      </c>
      <c r="D9" s="51" t="n">
        <f aca="false">SUMPRODUCT((MONTH('📋 Sales Entry'!B8:B107)=$D$4)*(YEAR('📋 Sales Entry'!B8:B107)=$F$4)*('📋 Sales Entry'!D8:D107=B9)*IFERROR('📋 Sales Entry'!I8:I107*1,0))</f>
        <v>720</v>
      </c>
      <c r="E9" s="61" t="n">
        <f aca="false">IFERROR(D9/C9,0)</f>
        <v>360</v>
      </c>
      <c r="F9" s="52" t="n">
        <f aca="false">IFERROR(D9/G16,0)</f>
        <v>0</v>
      </c>
    </row>
    <row r="10" customFormat="false" ht="19.5" hidden="false" customHeight="true" outlineLevel="0" collapsed="false">
      <c r="B10" s="45" t="s">
        <v>22</v>
      </c>
      <c r="C10" s="46" t="n">
        <f aca="false">SUMPRODUCT((MONTH('📋 Sales Entry'!B8:B107)=$D$4)*(YEAR('📋 Sales Entry'!B8:B107)=$F$4)*('📋 Sales Entry'!D8:D107=B10)*('📋 Sales Entry'!I8:I107&gt;0))</f>
        <v>2</v>
      </c>
      <c r="D10" s="47" t="n">
        <f aca="false">SUMPRODUCT((MONTH('📋 Sales Entry'!B8:B107)=$D$4)*(YEAR('📋 Sales Entry'!B8:B107)=$F$4)*('📋 Sales Entry'!D8:D107=B10)*IFERROR('📋 Sales Entry'!I8:I107*1,0))</f>
        <v>4000</v>
      </c>
      <c r="E10" s="65" t="n">
        <f aca="false">IFERROR(D10/C10,0)</f>
        <v>2000</v>
      </c>
      <c r="F10" s="48" t="n">
        <f aca="false">IFERROR(D10/G16,0)</f>
        <v>0</v>
      </c>
    </row>
    <row r="11" customFormat="false" ht="19.5" hidden="false" customHeight="true" outlineLevel="0" collapsed="false">
      <c r="B11" s="49" t="s">
        <v>20</v>
      </c>
      <c r="C11" s="50" t="n">
        <f aca="false">SUMPRODUCT((MONTH('📋 Sales Entry'!B8:B107)=$D$4)*(YEAR('📋 Sales Entry'!B8:B107)=$F$4)*('📋 Sales Entry'!D8:D107=B11)*('📋 Sales Entry'!I8:I107&gt;0))</f>
        <v>2</v>
      </c>
      <c r="D11" s="51" t="n">
        <f aca="false">SUMPRODUCT((MONTH('📋 Sales Entry'!B8:B107)=$D$4)*(YEAR('📋 Sales Entry'!B8:B107)=$F$4)*('📋 Sales Entry'!D8:D107=B11)*IFERROR('📋 Sales Entry'!I8:I107*1,0))</f>
        <v>1460</v>
      </c>
      <c r="E11" s="61" t="n">
        <f aca="false">IFERROR(D11/C11,0)</f>
        <v>730</v>
      </c>
      <c r="F11" s="52" t="n">
        <f aca="false">IFERROR(D11/G16,0)</f>
        <v>0</v>
      </c>
    </row>
    <row r="12" customFormat="false" ht="19.5" hidden="false" customHeight="true" outlineLevel="0" collapsed="false">
      <c r="B12" s="45" t="s">
        <v>39</v>
      </c>
      <c r="C12" s="46" t="n">
        <f aca="false">SUMPRODUCT((MONTH('📋 Sales Entry'!B8:B107)=$D$4)*(YEAR('📋 Sales Entry'!B8:B107)=$F$4)*('📋 Sales Entry'!D8:D107=B12)*('📋 Sales Entry'!I8:I107&gt;0))</f>
        <v>0</v>
      </c>
      <c r="D12" s="47" t="n">
        <f aca="false">SUMPRODUCT((MONTH('📋 Sales Entry'!B8:B107)=$D$4)*(YEAR('📋 Sales Entry'!B8:B107)=$F$4)*('📋 Sales Entry'!D8:D107=B12)*IFERROR('📋 Sales Entry'!I8:I107*1,0))</f>
        <v>0</v>
      </c>
      <c r="E12" s="65" t="n">
        <f aca="false">IFERROR(D12/C12,0)</f>
        <v>0</v>
      </c>
      <c r="F12" s="48" t="n">
        <f aca="false">IFERROR(D12/G16,0)</f>
        <v>0</v>
      </c>
    </row>
    <row r="13" customFormat="false" ht="19.5" hidden="false" customHeight="true" outlineLevel="0" collapsed="false">
      <c r="B13" s="49" t="s">
        <v>18</v>
      </c>
      <c r="C13" s="50" t="n">
        <f aca="false">SUMPRODUCT((MONTH('📋 Sales Entry'!B8:B107)=$D$4)*(YEAR('📋 Sales Entry'!B8:B107)=$F$4)*('📋 Sales Entry'!D8:D107=B13)*('📋 Sales Entry'!I8:I107&gt;0))</f>
        <v>2</v>
      </c>
      <c r="D13" s="51" t="n">
        <f aca="false">SUMPRODUCT((MONTH('📋 Sales Entry'!B8:B107)=$D$4)*(YEAR('📋 Sales Entry'!B8:B107)=$F$4)*('📋 Sales Entry'!D8:D107=B13)*IFERROR('📋 Sales Entry'!I8:I107*1,0))</f>
        <v>1200</v>
      </c>
      <c r="E13" s="61" t="n">
        <f aca="false">IFERROR(D13/C13,0)</f>
        <v>600</v>
      </c>
      <c r="F13" s="52" t="n">
        <f aca="false">IFERROR(D13/G16,0)</f>
        <v>0</v>
      </c>
    </row>
    <row r="14" customFormat="false" ht="19.5" hidden="false" customHeight="true" outlineLevel="0" collapsed="false">
      <c r="B14" s="45" t="s">
        <v>40</v>
      </c>
      <c r="C14" s="46" t="n">
        <f aca="false">SUMPRODUCT((MONTH('📋 Sales Entry'!B8:B107)=$D$4)*(YEAR('📋 Sales Entry'!B8:B107)=$F$4)*('📋 Sales Entry'!D8:D107=B14)*('📋 Sales Entry'!I8:I107&gt;0))</f>
        <v>0</v>
      </c>
      <c r="D14" s="47" t="n">
        <f aca="false">SUMPRODUCT((MONTH('📋 Sales Entry'!B8:B107)=$D$4)*(YEAR('📋 Sales Entry'!B8:B107)=$F$4)*('📋 Sales Entry'!D8:D107=B14)*IFERROR('📋 Sales Entry'!I8:I107*1,0))</f>
        <v>0</v>
      </c>
      <c r="E14" s="65" t="n">
        <f aca="false">IFERROR(D14/C14,0)</f>
        <v>0</v>
      </c>
      <c r="F14" s="48" t="n">
        <f aca="false">IFERROR(D14/G16,0)</f>
        <v>0</v>
      </c>
    </row>
    <row r="15" customFormat="false" ht="25.5" hidden="false" customHeight="true" outlineLevel="0" collapsed="false">
      <c r="B15" s="53" t="s">
        <v>70</v>
      </c>
      <c r="C15" s="54" t="n">
        <f aca="false">SUM(C8:C14)</f>
        <v>10</v>
      </c>
      <c r="D15" s="26" t="n">
        <f aca="false">SUM(D8:D14)</f>
        <v>9880</v>
      </c>
      <c r="E15" s="24"/>
      <c r="F15" s="82" t="s">
        <v>71</v>
      </c>
    </row>
    <row r="16" customFormat="false" ht="19.5" hidden="false" customHeight="true" outlineLevel="0" collapsed="false"/>
    <row r="17" customFormat="false" ht="19.5" hidden="false" customHeight="true" outlineLevel="0" collapsed="false">
      <c r="B17" s="43" t="s">
        <v>72</v>
      </c>
    </row>
    <row r="18" customFormat="false" ht="19.5" hidden="false" customHeight="true" outlineLevel="0" collapsed="false">
      <c r="B18" s="45" t="s">
        <v>73</v>
      </c>
      <c r="D18" s="75" t="n">
        <f aca="false">D15</f>
        <v>9880</v>
      </c>
    </row>
    <row r="19" customFormat="false" ht="19.5" hidden="false" customHeight="true" outlineLevel="0" collapsed="false">
      <c r="B19" s="49" t="s">
        <v>32</v>
      </c>
      <c r="D19" s="83" t="n">
        <f aca="false">C15</f>
        <v>10</v>
      </c>
    </row>
    <row r="20" customFormat="false" ht="19.5" hidden="false" customHeight="true" outlineLevel="0" collapsed="false">
      <c r="B20" s="45" t="s">
        <v>74</v>
      </c>
      <c r="D20" s="84" t="n">
        <f aca="false">IFERROR(D15/SUMPRODUCT((MONTH('📋 Sales Entry'!B8:B107)=$D$4)*(YEAR('📋 Sales Entry'!B8:B107)=$F$4)*(IFERROR('📋 Sales Entry'!I8:I107*1,0)&gt;0)),0)</f>
        <v>988</v>
      </c>
    </row>
    <row r="21" customFormat="false" ht="19.5" hidden="false" customHeight="true" outlineLevel="0" collapsed="false">
      <c r="B21" s="49" t="s">
        <v>75</v>
      </c>
      <c r="D21" s="85" t="str">
        <f aca="false">IFERROR(INDEX(B8:B14,MATCH(MAX(D8:D14),D8:D14,0)),"—")</f>
        <v>Clothing</v>
      </c>
    </row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3A2"/>
    <pageSetUpPr fitToPage="fals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60"/>
  </cols>
  <sheetData>
    <row r="1" customFormat="false" ht="21.75" hidden="false" customHeight="true" outlineLevel="0" collapsed="false"/>
    <row r="2" customFormat="false" ht="51.75" hidden="false" customHeight="true" outlineLevel="0" collapsed="false">
      <c r="A2" s="2"/>
      <c r="B2" s="86" t="s">
        <v>76</v>
      </c>
      <c r="C2" s="2"/>
      <c r="D2" s="2"/>
      <c r="E2" s="2"/>
      <c r="F2" s="2"/>
      <c r="G2" s="2"/>
    </row>
    <row r="3" customFormat="false" ht="21.75" hidden="false" customHeight="true" outlineLevel="0" collapsed="false"/>
    <row r="4" customFormat="false" ht="21.75" hidden="false" customHeight="true" outlineLevel="0" collapsed="false"/>
    <row r="5" customFormat="false" ht="21.75" hidden="false" customHeight="true" outlineLevel="0" collapsed="false"/>
    <row r="6" customFormat="false" ht="21.75" hidden="false" customHeight="true" outlineLevel="0" collapsed="false">
      <c r="B6" s="87" t="s">
        <v>77</v>
      </c>
      <c r="C6" s="88" t="s">
        <v>78</v>
      </c>
    </row>
    <row r="7" customFormat="false" ht="21.75" hidden="false" customHeight="true" outlineLevel="0" collapsed="false">
      <c r="B7" s="89" t="s">
        <v>79</v>
      </c>
      <c r="C7" s="90" t="s">
        <v>80</v>
      </c>
    </row>
    <row r="8" customFormat="false" ht="21.75" hidden="false" customHeight="true" outlineLevel="0" collapsed="false">
      <c r="B8" s="87" t="s">
        <v>81</v>
      </c>
      <c r="C8" s="88" t="s">
        <v>82</v>
      </c>
    </row>
    <row r="9" customFormat="false" ht="21.75" hidden="false" customHeight="true" outlineLevel="0" collapsed="false">
      <c r="B9" s="89" t="s">
        <v>83</v>
      </c>
      <c r="C9" s="90" t="s">
        <v>84</v>
      </c>
    </row>
    <row r="10" customFormat="false" ht="21.75" hidden="false" customHeight="true" outlineLevel="0" collapsed="false">
      <c r="B10" s="87" t="s">
        <v>85</v>
      </c>
      <c r="C10" s="88" t="s">
        <v>86</v>
      </c>
    </row>
    <row r="11" customFormat="false" ht="21.75" hidden="false" customHeight="true" outlineLevel="0" collapsed="false">
      <c r="B11" s="89" t="s">
        <v>87</v>
      </c>
      <c r="C11" s="90" t="s">
        <v>88</v>
      </c>
    </row>
    <row r="12" customFormat="false" ht="21.75" hidden="false" customHeight="true" outlineLevel="0" collapsed="false">
      <c r="B12" s="91" t="s">
        <v>89</v>
      </c>
      <c r="C12" s="88" t="s">
        <v>90</v>
      </c>
    </row>
    <row r="13" customFormat="false" ht="21.75" hidden="false" customHeight="true" outlineLevel="0" collapsed="false">
      <c r="B13" s="92" t="s">
        <v>91</v>
      </c>
      <c r="C13" s="90" t="s">
        <v>92</v>
      </c>
    </row>
    <row r="14" customFormat="false" ht="21.75" hidden="false" customHeight="true" outlineLevel="0" collapsed="false">
      <c r="B14" s="91" t="s">
        <v>93</v>
      </c>
      <c r="C14" s="88" t="s">
        <v>94</v>
      </c>
    </row>
    <row r="15" customFormat="false" ht="21.75" hidden="false" customHeight="true" outlineLevel="0" collapsed="false"/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  <row r="21" customFormat="false" ht="21.75" hidden="false" customHeight="true" outlineLevel="0" collapsed="false"/>
    <row r="22" customFormat="false" ht="21.75" hidden="false" customHeight="true" outlineLevel="0" collapsed="false"/>
    <row r="23" customFormat="false" ht="21.75" hidden="false" customHeight="true" outlineLevel="0" collapsed="false"/>
    <row r="24" customFormat="false" ht="21.75" hidden="false" customHeight="true" outlineLevel="0" collapsed="false"/>
    <row r="25" customFormat="false" ht="21.75" hidden="false" customHeight="true" outlineLevel="0" collapsed="false"/>
    <row r="26" customFormat="false" ht="21.75" hidden="false" customHeight="true" outlineLevel="0" collapsed="false"/>
    <row r="27" customFormat="false" ht="21.75" hidden="false" customHeight="true" outlineLevel="0" collapsed="false"/>
    <row r="28" customFormat="false" ht="21.75" hidden="false" customHeight="true" outlineLevel="0" collapsed="false"/>
    <row r="29" customFormat="false" ht="21.75" hidden="false" customHeight="true" outlineLevel="0" collapsed="false"/>
    <row r="30" customFormat="false" ht="21.75" hidden="false" customHeight="true" outlineLevel="0" collapsed="false"/>
    <row r="31" customFormat="false" ht="21.75" hidden="false" customHeight="true" outlineLevel="0" collapsed="false"/>
    <row r="32" customFormat="false" ht="21.75" hidden="false" customHeight="true" outlineLevel="0" collapsed="false"/>
    <row r="33" customFormat="false" ht="21.75" hidden="false" customHeight="true" outlineLevel="0" collapsed="false"/>
    <row r="34" customFormat="false" ht="21.75" hidden="false" customHeight="true" outlineLevel="0" collapsed="false"/>
    <row r="35" customFormat="false" ht="21.75" hidden="false" customHeight="true" outlineLevel="0" collapsed="false"/>
    <row r="36" customFormat="false" ht="21.75" hidden="false" customHeight="true" outlineLevel="0" collapsed="false"/>
    <row r="37" customFormat="false" ht="21.75" hidden="false" customHeight="true" outlineLevel="0" collapsed="false"/>
    <row r="38" customFormat="false" ht="21.75" hidden="false" customHeight="true" outlineLevel="0" collapsed="false"/>
    <row r="39" customFormat="false" ht="21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2026-06-11T06:11:55Z</dcterms:created>
  <dc:creator>openpyxl</dc:creator>
  <dc:description/>
  <dc:language>en-US</dc:language>
  <cp:lastModifiedBy/>
  <dcterms:modified xsi:type="dcterms:W3CDTF">2026-06-11T06:12:43Z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